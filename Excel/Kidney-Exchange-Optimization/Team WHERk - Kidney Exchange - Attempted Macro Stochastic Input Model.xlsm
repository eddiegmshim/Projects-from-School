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53222"/>
  <mc:AlternateContent xmlns:mc="http://schemas.openxmlformats.org/markup-compatibility/2006">
    <mc:Choice Requires="x15">
      <x15ac:absPath xmlns:x15ac="http://schemas.microsoft.com/office/spreadsheetml/2010/11/ac" url="\\Client\C$\Users\Rosalyn\Desktop\Decision Models Fall15\DM Assignments\"/>
    </mc:Choice>
  </mc:AlternateContent>
  <bookViews>
    <workbookView xWindow="6660" yWindow="0" windowWidth="19380" windowHeight="8340" firstSheet="1" activeTab="2"/>
  </bookViews>
  <sheets>
    <sheet name="CB_DATA_" sheetId="3" state="veryHidden" r:id="rId1"/>
    <sheet name="Pairs" sheetId="4" r:id="rId2"/>
    <sheet name="Feasibility Output" sheetId="5" r:id="rId3"/>
    <sheet name="CrystalBall Pair Generation" sheetId="2" r:id="rId4"/>
  </sheets>
  <functionGroups builtInGroupCount="18"/>
  <definedNames>
    <definedName name="_xlnm._FilterDatabase" localSheetId="2" hidden="1">'Feasibility Output'!$C$3:$C$16</definedName>
    <definedName name="_xlnm._FilterDatabase" localSheetId="1" hidden="1">Pairs!$O$4:$O$18</definedName>
    <definedName name="CB_014b666548054897acc4dab2d5144ff3" localSheetId="2" hidden="1">'Feasibility Output'!$E$222</definedName>
    <definedName name="CB_01825d25ec3c4dd299c314740ad467fb" localSheetId="2" hidden="1">'Feasibility Output'!$E$41</definedName>
    <definedName name="CB_0188b69dc1894e9ca457aed7ce55609e" localSheetId="2" hidden="1">'Feasibility Output'!$E$268</definedName>
    <definedName name="CB_01d361f78ab542048ba2dbaa87f64714" localSheetId="2" hidden="1">'Feasibility Output'!$E$38</definedName>
    <definedName name="CB_01e1fa07fa4c420a81a8ae0f65601b80" localSheetId="2" hidden="1">'Feasibility Output'!$E$356</definedName>
    <definedName name="CB_021c7f73ad6a4ede9664d58f75dc36dd" localSheetId="2" hidden="1">'Feasibility Output'!$E$155</definedName>
    <definedName name="CB_02f715ffdf4946559b9e620f51b6b3cd" localSheetId="2" hidden="1">'Feasibility Output'!$E$130</definedName>
    <definedName name="CB_04161b9f1f5a4de7bf4534177143befa" localSheetId="2" hidden="1">'Feasibility Output'!$E$160</definedName>
    <definedName name="CB_047977b4be70459c8f1d1444c633c058" localSheetId="2" hidden="1">'Feasibility Output'!$E$111</definedName>
    <definedName name="CB_06baaae6ce5749ba90d2b79a51ff8052" localSheetId="2" hidden="1">'Feasibility Output'!$E$18</definedName>
    <definedName name="CB_07d98f993f1b4eb98a00a59e9db7bc51" localSheetId="2" hidden="1">'Feasibility Output'!$E$17</definedName>
    <definedName name="CB_092dad9a0a1b4d298e4919caf49f45f5" localSheetId="2" hidden="1">'Feasibility Output'!$E$334</definedName>
    <definedName name="CB_093557a083ef4d01a963cc0d98312e79" localSheetId="2" hidden="1">'Feasibility Output'!$E$253</definedName>
    <definedName name="CB_09ada38048204b59a4807e07d4b03e3d" localSheetId="2" hidden="1">'Feasibility Output'!$E$32</definedName>
    <definedName name="CB_0a45022575ef48809c091a25824aa28a" localSheetId="2" hidden="1">'Feasibility Output'!$E$273</definedName>
    <definedName name="CB_0a9dcfc8c5f94c948dc0e68acc4fb8c1" localSheetId="2" hidden="1">'Feasibility Output'!$E$153</definedName>
    <definedName name="CB_0abbcdabdb7a474db19d475255552419" localSheetId="2" hidden="1">'Feasibility Output'!$E$360</definedName>
    <definedName name="CB_0cb2da5f9cc54d97bad248513a7c5852" localSheetId="2" hidden="1">'Feasibility Output'!$E$301</definedName>
    <definedName name="CB_0d89b5a882744d53816aef39884d2c5e" localSheetId="2" hidden="1">'Feasibility Output'!$E$187</definedName>
    <definedName name="CB_0e72bca6efd743e784bb483c2403f09d" localSheetId="2" hidden="1">'Feasibility Output'!$E$335</definedName>
    <definedName name="CB_0e7770ca59854194988d4404014ac3a8" localSheetId="2" hidden="1">'Feasibility Output'!$E$60</definedName>
    <definedName name="CB_0eb17b92d58b455ba2bc10387b14fcc1" localSheetId="2" hidden="1">'Feasibility Output'!$E$92</definedName>
    <definedName name="CB_0f84eab548ed4ec682b44c13c20075ad" localSheetId="2" hidden="1">'Feasibility Output'!$E$141</definedName>
    <definedName name="CB_105d5ec41cc840d381c15d2307676349" localSheetId="2" hidden="1">'Feasibility Output'!$E$122</definedName>
    <definedName name="CB_106be4907026404d9afab96337d37c24" localSheetId="2" hidden="1">'Feasibility Output'!$E$347</definedName>
    <definedName name="CB_11cdd2efc69049b081782249dc287652" localSheetId="2" hidden="1">'Feasibility Output'!$E$114</definedName>
    <definedName name="CB_11ee68b41ebb4f3d83635452f194055e" localSheetId="2" hidden="1">'Feasibility Output'!$E$9</definedName>
    <definedName name="CB_1324a763582a4a5b98950585388fc751" localSheetId="2" hidden="1">'Feasibility Output'!$E$374</definedName>
    <definedName name="CB_14132e90ea824244b7a33d305092c48c" localSheetId="2" hidden="1">'Feasibility Output'!$E$245</definedName>
    <definedName name="CB_1416add53db8492abc6f1ee0aca6e46e" localSheetId="2" hidden="1">'Feasibility Output'!$E$244</definedName>
    <definedName name="CB_14d83b4d54b84f7ca7c5f86c2de1ffec" localSheetId="2" hidden="1">'Feasibility Output'!$E$258</definedName>
    <definedName name="CB_152b386a42fc44299467a67ee91bd0eb" localSheetId="2" hidden="1">'Feasibility Output'!$E$86</definedName>
    <definedName name="CB_1638dc1bc9e14a0a80b16ba9bcf2366a" localSheetId="2" hidden="1">'Feasibility Output'!$E$235</definedName>
    <definedName name="CB_1670693c7fcf498d90878e2e17d891b9" localSheetId="2" hidden="1">'Feasibility Output'!$E$260</definedName>
    <definedName name="CB_18128e6fd7f347ec9fea6922f1638ee7" localSheetId="2" hidden="1">'Feasibility Output'!$E$75</definedName>
    <definedName name="CB_183754375b764e23b80800d3e2c79a47" localSheetId="2" hidden="1">'Feasibility Output'!$E$163</definedName>
    <definedName name="CB_1a10feaed7f34cf9a303382475a341b3" localSheetId="2" hidden="1">'Feasibility Output'!$E$181</definedName>
    <definedName name="CB_1b5f00e85f744ca3ab291b3da5548b9b" localSheetId="2" hidden="1">'Feasibility Output'!$E$372</definedName>
    <definedName name="CB_1d1784ee3cad48a490250b320a659081" localSheetId="2" hidden="1">'Feasibility Output'!$E$280</definedName>
    <definedName name="CB_1e4f396714a2492ea3b1478792d59a61" localSheetId="2" hidden="1">'Feasibility Output'!$E$192</definedName>
    <definedName name="CB_1f09cdbe139440a4bf3946bb73859a3d" localSheetId="2" hidden="1">'Feasibility Output'!$E$99</definedName>
    <definedName name="CB_1f6635f07e7d4ca0822dfe66aace9906" localSheetId="2" hidden="1">'Feasibility Output'!$E$52</definedName>
    <definedName name="CB_20d39e41ac9344f08782f2667b39098f" localSheetId="2" hidden="1">'Feasibility Output'!$E$318</definedName>
    <definedName name="CB_21956bbd39054b9a95ce7bfbd30a7595" localSheetId="2" hidden="1">'Feasibility Output'!$E$101</definedName>
    <definedName name="CB_21b145e4c0c647aebd8de72e561e9df8" localSheetId="2" hidden="1">'Feasibility Output'!$E$167</definedName>
    <definedName name="CB_239fa8a062f94de58043a17093a9b3f3" localSheetId="2" hidden="1">'Feasibility Output'!$E$228</definedName>
    <definedName name="CB_2431cfb3aa0b4e18ba35625c6de7fa9b" localSheetId="2" hidden="1">'Feasibility Output'!$E$239</definedName>
    <definedName name="CB_24a508c0abc8465098bfe27757d7b7fc" localSheetId="2" hidden="1">'Feasibility Output'!$E$113</definedName>
    <definedName name="CB_25851a65a7d449fd9bf63e96148621eb" localSheetId="2" hidden="1">'Feasibility Output'!$E$329</definedName>
    <definedName name="CB_288a2fe819a84543bda84b16ff44b325" localSheetId="2" hidden="1">'Feasibility Output'!$E$40</definedName>
    <definedName name="CB_28c4fbfcdab547cf81264c3a2680dd01" localSheetId="2" hidden="1">'Feasibility Output'!$E$147</definedName>
    <definedName name="CB_291ac004f4a74db4a8c1a37041ce83fa" localSheetId="2" hidden="1">'Feasibility Output'!$E$97</definedName>
    <definedName name="CB_298b5286f7604a6bb8302a38867ebfaf" localSheetId="2" hidden="1">'Feasibility Output'!$E$201</definedName>
    <definedName name="CB_2a95453743c54db8b6f1a67a3fd0e930" localSheetId="2" hidden="1">'Feasibility Output'!$E$292</definedName>
    <definedName name="CB_2b87ddd613e24ef4a5f5e66dc7a4bbf6" localSheetId="2" hidden="1">'Feasibility Output'!$E$159</definedName>
    <definedName name="CB_2e7ea19d4e1f46b6b3d3b3258ee3980c" localSheetId="2" hidden="1">'Feasibility Output'!$E$340</definedName>
    <definedName name="CB_2f3a90eb213c49a08bd715d3b7034f44" localSheetId="2" hidden="1">'Feasibility Output'!$E$171</definedName>
    <definedName name="CB_300a55089a694a75834b1a9a1bfb92f1" localSheetId="2" hidden="1">'Feasibility Output'!$E$196</definedName>
    <definedName name="CB_30a44667e9a0451b901f5d3d4343fb54" localSheetId="2" hidden="1">'Feasibility Output'!$E$197</definedName>
    <definedName name="CB_3101c34b90ca496c8145feee5b5b4eaf" localSheetId="2" hidden="1">'Feasibility Output'!$E$19</definedName>
    <definedName name="CB_312c72801f674946aee33b9cda8241fd" localSheetId="2" hidden="1">'Feasibility Output'!$E$304</definedName>
    <definedName name="CB_31861ea30873496d9658421f54d4bbca" localSheetId="2" hidden="1">'Feasibility Output'!$E$247</definedName>
    <definedName name="CB_318d2d8b88e349788a0722bfbeb9675b" localSheetId="2" hidden="1">'Feasibility Output'!$E$136</definedName>
    <definedName name="CB_32b210fbe81047c38b46285793256324" localSheetId="2" hidden="1">'Feasibility Output'!$E$278</definedName>
    <definedName name="CB_3335c50c6f894ac884487f7d9e5ca5fb" localSheetId="2" hidden="1">'Feasibility Output'!$E$203</definedName>
    <definedName name="CB_33d4907ddd93489289f6dcd0a0ca7809" localSheetId="2" hidden="1">'Feasibility Output'!$E$297</definedName>
    <definedName name="CB_345b08aed91d46d0be982f606dcfb64c" localSheetId="2" hidden="1">'Feasibility Output'!$E$89</definedName>
    <definedName name="CB_348bff8d891f46dda1510787079d2f0f" localSheetId="2" hidden="1">'Feasibility Output'!$E$323</definedName>
    <definedName name="CB_349b0000e06648f6a8a6555ca4a2d69d" localSheetId="2" hidden="1">'Feasibility Output'!$E$306</definedName>
    <definedName name="CB_35da960f77b84091a71ee88479b1c04c" localSheetId="2" hidden="1">'Feasibility Output'!$E$242</definedName>
    <definedName name="CB_3770b93d61b74cc0a81871e59608d6fa" localSheetId="2" hidden="1">'Feasibility Output'!$E$87</definedName>
    <definedName name="CB_39d85eb60df044eb98b0538e9023ac46" localSheetId="2" hidden="1">'Feasibility Output'!$E$377</definedName>
    <definedName name="CB_3ab06209be834af2b17b3591997036bf" localSheetId="2" hidden="1">'Feasibility Output'!$E$76</definedName>
    <definedName name="CB_3ae81d628fdf4b4081d237d8c6562f7d" localSheetId="2" hidden="1">'Feasibility Output'!$E$194</definedName>
    <definedName name="CB_3b13efec052e4b848dabfc7a55c3e99f" localSheetId="2" hidden="1">'Feasibility Output'!$E$105</definedName>
    <definedName name="CB_3c4bed572e724a5988db8f45cc6ad51d" localSheetId="2" hidden="1">'Feasibility Output'!$E$161</definedName>
    <definedName name="CB_3cd1972047d648ba9fd59b11f4c89abb" localSheetId="2" hidden="1">'Feasibility Output'!$E$363</definedName>
    <definedName name="CB_3d1aa1842b3f4529b3ee21089508cf54" localSheetId="2" hidden="1">'Feasibility Output'!$E$193</definedName>
    <definedName name="CB_3d3ddf1c18dd479aa81de20df94e1c9b" localSheetId="2" hidden="1">'Feasibility Output'!$E$119</definedName>
    <definedName name="CB_3d4e09f3575b42e9abcc9a1c64958011" localSheetId="2" hidden="1">'Feasibility Output'!$E$250</definedName>
    <definedName name="CB_3d77f9d4dd044b09a03ad8076dd3b8e6" localSheetId="2" hidden="1">'Feasibility Output'!$E$219</definedName>
    <definedName name="CB_3e0d860b47f0458ab7510866e656a07f" localSheetId="2" hidden="1">'Feasibility Output'!$E$72</definedName>
    <definedName name="CB_3e24d966ec4445f784d056d0864c6236" localSheetId="2" hidden="1">'Feasibility Output'!$E$365</definedName>
    <definedName name="CB_3e4a6fb93fec46acb96eb0c2c38b5016" localSheetId="2" hidden="1">'Feasibility Output'!$E$55</definedName>
    <definedName name="CB_3f038a5c39c848da86cc0a189f211bbb" localSheetId="2" hidden="1">'Feasibility Output'!$E$202</definedName>
    <definedName name="CB_3fc5e167b32842efbf253b18ec068be0" localSheetId="2" hidden="1">'Feasibility Output'!$E$325</definedName>
    <definedName name="CB_40293bb637bc42e094c9b98a2c95a40e" localSheetId="2" hidden="1">'Feasibility Output'!$E$238</definedName>
    <definedName name="CB_412399432d404502b1bf1c98d549e026" localSheetId="2" hidden="1">'Feasibility Output'!$E$354</definedName>
    <definedName name="CB_4209faa9a05548b787849b541eececfd" localSheetId="2" hidden="1">'Feasibility Output'!$E$240</definedName>
    <definedName name="CB_42b39fcb4b694cbf80526238a2f18696" localSheetId="2" hidden="1">'Feasibility Output'!$E$48</definedName>
    <definedName name="CB_42f9b3597885439e86b9591adc889ac3" localSheetId="2" hidden="1">'Feasibility Output'!$E$100</definedName>
    <definedName name="CB_42fe736b8d254a088dbf68db161c704e" localSheetId="2" hidden="1">'Feasibility Output'!$E$217</definedName>
    <definedName name="CB_435d74c28ed34861b49b0b02a3b7111b" localSheetId="2" hidden="1">'Feasibility Output'!$E$129</definedName>
    <definedName name="CB_445bf5323f7e47f4947037da2b471851" localSheetId="2" hidden="1">'Feasibility Output'!$E$285</definedName>
    <definedName name="CB_445f72dc9e894b70bdad6c7b794b1c91" localSheetId="2" hidden="1">'Feasibility Output'!$E$128</definedName>
    <definedName name="CB_447c02aab9064e34ac05968f06f69b81" localSheetId="2" hidden="1">'Feasibility Output'!$E$123</definedName>
    <definedName name="CB_449040d72f59473391daf90d14bbb0d4" localSheetId="2" hidden="1">'Feasibility Output'!$E$132</definedName>
    <definedName name="CB_4494bba2ad8a48df8468463d326597ba" localSheetId="2" hidden="1">'Feasibility Output'!$E$168</definedName>
    <definedName name="CB_45a958ab03b94142af3d5b4b2d02dd83" localSheetId="2" hidden="1">'Feasibility Output'!$E$174</definedName>
    <definedName name="CB_460755208f544e31b323da9fa77ca50b" localSheetId="2" hidden="1">'Feasibility Output'!$E$324</definedName>
    <definedName name="CB_463a60327f574310823eb20f6cb025f1" localSheetId="2" hidden="1">'Feasibility Output'!$E$289</definedName>
    <definedName name="CB_46a2076d6f8445e2859157c794942d0a" localSheetId="2" hidden="1">'Feasibility Output'!$E$316</definedName>
    <definedName name="CB_4717343318724b69bf65bab7d07c5566" localSheetId="2" hidden="1">'Feasibility Output'!$E$179</definedName>
    <definedName name="CB_476a53b3992442b89140c203eb6241b2" localSheetId="2" hidden="1">'Feasibility Output'!$E$227</definedName>
    <definedName name="CB_49ae907d9ac14100ba6663bb8aa535a2" localSheetId="2" hidden="1">'Feasibility Output'!$E$90</definedName>
    <definedName name="CB_4a85a274f98c4f7aa89be08195eaf0fc" localSheetId="2" hidden="1">'Feasibility Output'!$E$314</definedName>
    <definedName name="CB_4cf62fc9b75742289d6b5e9a0c82a34c" localSheetId="2" hidden="1">'Feasibility Output'!$E$349</definedName>
    <definedName name="CB_4de3176a72234c41991bccd9eaf275a9" localSheetId="2" hidden="1">'Feasibility Output'!$E$49</definedName>
    <definedName name="CB_4f19bb8e51284070bcae69e032c32c11" localSheetId="2" hidden="1">'Feasibility Output'!$E$336</definedName>
    <definedName name="CB_50006d77bb69402585e3fb5c4674ee52" localSheetId="2" hidden="1">'Feasibility Output'!$E$42</definedName>
    <definedName name="CB_5011e4c04dfb4086a3fbce63593eb34e" localSheetId="2" hidden="1">'Feasibility Output'!$E$254</definedName>
    <definedName name="CB_516e21057dee4256a6e525bbb78216e2" localSheetId="2" hidden="1">'Feasibility Output'!$E$373</definedName>
    <definedName name="CB_51f16a0f7b2f4bacaac3817470c07865" localSheetId="2" hidden="1">'Feasibility Output'!$E$143</definedName>
    <definedName name="CB_51fd06c3e6684e8f9db93ca2f754a25a" localSheetId="2" hidden="1">'Feasibility Output'!$E$120</definedName>
    <definedName name="CB_525f83367e474794b5ad2c1af9d3c3b9" localSheetId="2" hidden="1">'Feasibility Output'!$E$173</definedName>
    <definedName name="CB_52b765f3bbbd4e229d21ab6435205e98" localSheetId="2" hidden="1">'Feasibility Output'!$E$339</definedName>
    <definedName name="CB_536e0d5009f44d3eac77dc4a9b0140d5" localSheetId="2" hidden="1">'Feasibility Output'!$E$382</definedName>
    <definedName name="CB_53c42789ccbd4dddb0fa057917b274c4" localSheetId="2" hidden="1">'Feasibility Output'!$E$11</definedName>
    <definedName name="CB_53c71dc2a81d4fdfb5a5b59e749b2f5c" localSheetId="2" hidden="1">'Feasibility Output'!$E$319</definedName>
    <definedName name="CB_54132720aca8453db6e654533d6457ee" localSheetId="2" hidden="1">'Feasibility Output'!$E$116</definedName>
    <definedName name="CB_55306431f6274b4692d93e5298c190fc" localSheetId="2" hidden="1">'Feasibility Output'!$E$195</definedName>
    <definedName name="CB_555c45c4f656461dae650008ab05af63" localSheetId="2" hidden="1">'Feasibility Output'!$E$310</definedName>
    <definedName name="CB_56ba2527599c433794775307f6c4092a" localSheetId="2" hidden="1">'Feasibility Output'!$E$338</definedName>
    <definedName name="CB_575c10cbf2ae4946b051c8abc3e019f1" localSheetId="2" hidden="1">'Feasibility Output'!$E$248</definedName>
    <definedName name="CB_57632887b7a7456787c0d3fe87c5cfca" localSheetId="2" hidden="1">'Feasibility Output'!$E$57</definedName>
    <definedName name="CB_57bc2530e63e42d2993208a50acf7031" localSheetId="2" hidden="1">'Feasibility Output'!$E$286</definedName>
    <definedName name="CB_57e9fe9b9b2c4a9e819f804ed751a084" localSheetId="2" hidden="1">'Feasibility Output'!$E$152</definedName>
    <definedName name="CB_58227c4ba57a4758b0bbc4256cc87bdf" localSheetId="2" hidden="1">'Feasibility Output'!$E$138</definedName>
    <definedName name="CB_58bb0f5a074a4178b4dd1e5c63115128" localSheetId="2" hidden="1">'Feasibility Output'!$E$165</definedName>
    <definedName name="CB_591cf1cf9e5d4ad98dc8bbbae3f73f82" localSheetId="2" hidden="1">'Feasibility Output'!$E$321</definedName>
    <definedName name="CB_59e1acc869b74f7f88b1e729fdebaa5c" localSheetId="2" hidden="1">'Feasibility Output'!$E$267</definedName>
    <definedName name="CB_5af18f1be77d43ba84c14cb1186404c2" localSheetId="2" hidden="1">'Feasibility Output'!$E$62</definedName>
    <definedName name="CB_5bc3862481144359a2b9eb710b07e96c" localSheetId="2" hidden="1">'Feasibility Output'!$E$69</definedName>
    <definedName name="CB_5c15cd241c9649acad64d98682275b01" localSheetId="2" hidden="1">'Feasibility Output'!$E$358</definedName>
    <definedName name="CB_5cc8a2e8744140c288eec24d793a0369" localSheetId="2" hidden="1">'Feasibility Output'!$E$186</definedName>
    <definedName name="CB_5da1205bfd6641ee90da423a254233d5" localSheetId="2" hidden="1">'Feasibility Output'!$E$127</definedName>
    <definedName name="CB_5dd30b0c3572421eadaae5eca36e109e" localSheetId="2" hidden="1">'Feasibility Output'!$E$36</definedName>
    <definedName name="CB_5e5d0792731d47a7b92ca3a8dac4e87e" localSheetId="2" hidden="1">'Feasibility Output'!$E$366</definedName>
    <definedName name="CB_5ed5933ad2a34e50bd949d0eb8c36119" localSheetId="2" hidden="1">'Feasibility Output'!$E$162</definedName>
    <definedName name="CB_5ff77de023724c89af387da03a645641" localSheetId="2" hidden="1">'Feasibility Output'!$E$77</definedName>
    <definedName name="CB_605d2228bd3f4370a9191ebfbfa04b13" localSheetId="3" hidden="1">'CrystalBall Pair Generation'!$B$3</definedName>
    <definedName name="CB_60e0489caa8c4351919e6399c8ed0361" localSheetId="2" hidden="1">'Feasibility Output'!$E$121</definedName>
    <definedName name="CB_612ce039ab954179ac3ed9ad2409d291" localSheetId="2" hidden="1">'Feasibility Output'!$E$259</definedName>
    <definedName name="CB_62339c8bb49944d2963cf3dbabe1e6dc" localSheetId="2" hidden="1">'Feasibility Output'!$E$172</definedName>
    <definedName name="CB_624103059ad74abaab766c2e66978939" localSheetId="2" hidden="1">'Feasibility Output'!$E$183</definedName>
    <definedName name="CB_625b083da1c34682836c1337e04a4890" localSheetId="2" hidden="1">'Feasibility Output'!$E$320</definedName>
    <definedName name="CB_62dcd58b82ce4a9f929b88bb49ee62fc" localSheetId="2" hidden="1">'Feasibility Output'!$E$348</definedName>
    <definedName name="CB_632ad7911e7e45a8bf9326f7a3a997fc" localSheetId="2" hidden="1">'Feasibility Output'!$E$158</definedName>
    <definedName name="CB_6390c662a596448296f94a99826f8942" localSheetId="2" hidden="1">'Feasibility Output'!$E$51</definedName>
    <definedName name="CB_63fa243704714e97bb6668d3138496f3" localSheetId="2" hidden="1">'Feasibility Output'!$E$35</definedName>
    <definedName name="CB_6526fc21aaae4e45a3daab91c94a2776" localSheetId="2" hidden="1">'Feasibility Output'!$E$188</definedName>
    <definedName name="CB_663843c452034d0f9ca16cccdd1bee99" localSheetId="2" hidden="1">'Feasibility Output'!$E$107</definedName>
    <definedName name="CB_673754ca2f4248908b8d4f4451895820" localSheetId="2" hidden="1">'Feasibility Output'!$E$359</definedName>
    <definedName name="CB_67fef4de585a4e28bed6ec8514de3bd8" localSheetId="2" hidden="1">'Feasibility Output'!$E$220</definedName>
    <definedName name="CB_687d9fbb801a44f6b69e325a29a3fce9" localSheetId="2" hidden="1">'Feasibility Output'!$E$326</definedName>
    <definedName name="CB_6884c0ed9d754ae294eca1276afa4f6a" localSheetId="2" hidden="1">'Feasibility Output'!$E$332</definedName>
    <definedName name="CB_69c2edee93e1483c866bb938a6669970" localSheetId="2" hidden="1">'Feasibility Output'!$E$236</definedName>
    <definedName name="CB_6a5397335e7e4604beb86f5ae602b6c6" localSheetId="2" hidden="1">'Feasibility Output'!$E$190</definedName>
    <definedName name="CB_6abd6e0411454ae2873da48e4b5e230d" localSheetId="2" hidden="1">'Feasibility Output'!$E$246</definedName>
    <definedName name="CB_6b35012a2d0446b39b8c5c6689ceda19" localSheetId="2" hidden="1">'Feasibility Output'!$E$237</definedName>
    <definedName name="CB_6c17617abac84e789cbd2006cf0cbae7" localSheetId="2" hidden="1">'Feasibility Output'!$E$276</definedName>
    <definedName name="CB_6da957ac1a894e6e9b0d24c452d18354" localSheetId="2" hidden="1">'Feasibility Output'!$E$151</definedName>
    <definedName name="CB_6e7c30381ff849438fcd4aab333d2b6c" localSheetId="2" hidden="1">'Feasibility Output'!$E$288</definedName>
    <definedName name="CB_6eae34ee8c2f4c74a2e37fa3752ff5a5" localSheetId="2" hidden="1">'Feasibility Output'!$E$234</definedName>
    <definedName name="CB_6ee645b45c2348e09e84d318d5a95074" localSheetId="2" hidden="1">'Feasibility Output'!$E$369</definedName>
    <definedName name="CB_6f9c2cd9910c479fa74ad3835236c120" localSheetId="2" hidden="1">'Feasibility Output'!$E$15</definedName>
    <definedName name="CB_6fdcf2ffc7b9443b87586341659c8d15" localSheetId="2" hidden="1">'Feasibility Output'!$E$146</definedName>
    <definedName name="CB_742bab5a19674e1aaae8ab52a0dfa0ab" localSheetId="2" hidden="1">'Feasibility Output'!$E$221</definedName>
    <definedName name="CB_744eb96ec2674963b5a34b21c9bab9c0" localSheetId="2" hidden="1">'Feasibility Output'!$E$291</definedName>
    <definedName name="CB_747b84146c7943148ef6792dfe834333" localSheetId="2" hidden="1">'Feasibility Output'!$E$272</definedName>
    <definedName name="CB_7485441dd0834f85808ccfcbb335df23" localSheetId="2" hidden="1">'Feasibility Output'!$E$308</definedName>
    <definedName name="CB_75219506f6d64de582eebbc3953bb9db" localSheetId="2" hidden="1">'Feasibility Output'!$E$265</definedName>
    <definedName name="CB_7585b2eb6a34442aa8960b9a500cf19a" localSheetId="2" hidden="1">'Feasibility Output'!$E$70</definedName>
    <definedName name="CB_776c71571b414587925c424828ddeee4" localSheetId="2" hidden="1">'Feasibility Output'!$E$115</definedName>
    <definedName name="CB_7830cf2ea8884f04b84bea529fba96d7" localSheetId="2" hidden="1">'Feasibility Output'!$E$207</definedName>
    <definedName name="CB_78461e297be448359410f9126c821a5a" localSheetId="2" hidden="1">'Feasibility Output'!$E$315</definedName>
    <definedName name="CB_78d0817205924ab6bfbfc3b18b021791" localSheetId="2" hidden="1">'Feasibility Output'!$E$300</definedName>
    <definedName name="CB_79394b02518843ef9b9860341eb6aa8e" localSheetId="2" hidden="1">'Feasibility Output'!$E$277</definedName>
    <definedName name="CB_797d14e21f5e4de08b8b9ba411c7f466" localSheetId="2" hidden="1">'Feasibility Output'!$E$43</definedName>
    <definedName name="CB_7a4a3de1a5f74f1f81fb22b5b2cd4677" localSheetId="2" hidden="1">'Feasibility Output'!$E$209</definedName>
    <definedName name="CB_7b8d3863216a437d887aaa8daa63df0b" localSheetId="2" hidden="1">'Feasibility Output'!$E$279</definedName>
    <definedName name="CB_7c46a7e1ae734971abee00e0f7618d2c" localSheetId="2" hidden="1">'Feasibility Output'!$E$59</definedName>
    <definedName name="CB_7d12d46404b5401bb4f461348cfc3169" localSheetId="2" hidden="1">'Feasibility Output'!$E$295</definedName>
    <definedName name="CB_7d3c488a7a0f4363adaeddaf7e90c23b" localSheetId="2" hidden="1">'Feasibility Output'!$E$257</definedName>
    <definedName name="CB_7da72da5757744f99965b4e9ab668c7f" localSheetId="2" hidden="1">'Feasibility Output'!$E$313</definedName>
    <definedName name="CB_7e206fad37b04b8ca6267a3053d69e8b" localSheetId="2" hidden="1">'Feasibility Output'!$E$5</definedName>
    <definedName name="CB_7edb29221c304a7bbbaa9d597ad26b34" localSheetId="2" hidden="1">'Feasibility Output'!$E$25</definedName>
    <definedName name="CB_7f176bf5317048a9b6789cd430b61739" localSheetId="2" hidden="1">'Feasibility Output'!$E$45</definedName>
    <definedName name="CB_7fed7567775a43acaa8ba5dacd7e0c34" localSheetId="2" hidden="1">'Feasibility Output'!$E$231</definedName>
    <definedName name="CB_8174597a68d1430385fd1c677cc863b6" localSheetId="2" hidden="1">'Feasibility Output'!$E$149</definedName>
    <definedName name="CB_827e91daf3ae4ac0a45dd3416e853b39" localSheetId="2" hidden="1">'Feasibility Output'!$E$330</definedName>
    <definedName name="CB_8351697bc91e483e8f6df9eeaae16cb5" localSheetId="2" hidden="1">'Feasibility Output'!$E$275</definedName>
    <definedName name="CB_8382f9a31b284743a434078a9d5328f8" localSheetId="2" hidden="1">'Feasibility Output'!$E$150</definedName>
    <definedName name="CB_847b9f5a3e244fdf994ee17305948ac7" localSheetId="2" hidden="1">'Feasibility Output'!$E$82</definedName>
    <definedName name="CB_856979cb028146ff9c70c6abf4e664b5" localSheetId="2" hidden="1">'Feasibility Output'!$E$206</definedName>
    <definedName name="CB_8594367ddae14e6eb536141e94acc02e" localSheetId="2" hidden="1">'Feasibility Output'!$E$216</definedName>
    <definedName name="CB_863e46e0fe3543d28c9d8f953a08a5cc" localSheetId="2" hidden="1">'Feasibility Output'!$E$293</definedName>
    <definedName name="CB_872649cb4da24f2eb02d33904dc41f0a" localSheetId="2" hidden="1">'Feasibility Output'!$E$74</definedName>
    <definedName name="CB_87bbc6d05b91477d8f634cf434696efc" localSheetId="2" hidden="1">'Feasibility Output'!$E$144</definedName>
    <definedName name="CB_8873ece997fc416d9f8087d68bda951d" localSheetId="2" hidden="1">'Feasibility Output'!$E$176</definedName>
    <definedName name="CB_88c4915e781947578e04d31068a9c6e9" localSheetId="2" hidden="1">'Feasibility Output'!$E$298</definedName>
    <definedName name="CB_8935c620639540f8894403872a544715" localSheetId="2" hidden="1">'Feasibility Output'!$E$327</definedName>
    <definedName name="CB_896a5bee17ce4d3ea7833e78761a3931" localSheetId="2" hidden="1">'Feasibility Output'!$E$331</definedName>
    <definedName name="CB_89f6bebb7036472daf3bf4a5466b911e" localSheetId="2" hidden="1">'Feasibility Output'!$E$303</definedName>
    <definedName name="CB_8adf74c840fa4562b7dca4d7a650df42" localSheetId="2" hidden="1">'Feasibility Output'!$E$61</definedName>
    <definedName name="CB_8b171612cb5a4440a2a0b6aa9d7b446f" localSheetId="2" hidden="1">'Feasibility Output'!$E$368</definedName>
    <definedName name="CB_8b87e6532b5f48f6bfe6768808a6f5c1" localSheetId="2" hidden="1">'Feasibility Output'!$E$180</definedName>
    <definedName name="CB_8b8b04a61aae4b79a74d2fb08e1209b6" localSheetId="2" hidden="1">'Feasibility Output'!$E$63</definedName>
    <definedName name="CB_8d92b52de0164135a82e58cfe9206745" localSheetId="2" hidden="1">'Feasibility Output'!$E$66</definedName>
    <definedName name="CB_8dc6ae89ef4549dc91ec679de38eedcc" localSheetId="2" hidden="1">'Feasibility Output'!$E$28</definedName>
    <definedName name="CB_8ddee20229844fea9f63b5ddf8e73980" localSheetId="2" hidden="1">'Feasibility Output'!$E$117</definedName>
    <definedName name="CB_8e3955a8d9e743c2a502a4624e2eb62b" localSheetId="2" hidden="1">'Feasibility Output'!$E$364</definedName>
    <definedName name="CB_8e4c9fa47cdf45f4a3e85cc835704dbd" localSheetId="2" hidden="1">'Feasibility Output'!$E$177</definedName>
    <definedName name="CB_8ecb362e49a141849e09751220094fe9" localSheetId="2" hidden="1">'Feasibility Output'!$E$29</definedName>
    <definedName name="CB_8fc31f12584240d3bc8b61c0a2a9332d" localSheetId="2" hidden="1">'Feasibility Output'!$E$79</definedName>
    <definedName name="CB_8ff371dc7c374ea58e688ecbe45b15ef" localSheetId="2" hidden="1">'Feasibility Output'!$E$294</definedName>
    <definedName name="CB_9160444f70a94c7d930184f4b4caa9a3" localSheetId="2" hidden="1">'Feasibility Output'!$E$376</definedName>
    <definedName name="CB_92a7eb0b54e743139dca44698aee6e94" localSheetId="2" hidden="1">'Feasibility Output'!$E$47</definedName>
    <definedName name="CB_93ea65e890ff4278a1c52e4f65859b73" localSheetId="2" hidden="1">'Feasibility Output'!$E$39</definedName>
    <definedName name="CB_947044b12e204464942e559d2eed1119" localSheetId="2" hidden="1">'Feasibility Output'!$N$9</definedName>
    <definedName name="CB_953b18e4c2cf4c818eb5ab205a7f50b9" localSheetId="2" hidden="1">'Feasibility Output'!$E$342</definedName>
    <definedName name="CB_95b4ad6f53db402782408fbbd6be062d" localSheetId="2" hidden="1">'Feasibility Output'!$E$27</definedName>
    <definedName name="CB_96427fe370ce47a5afe25cfa85a26a8b" localSheetId="2" hidden="1">'Feasibility Output'!$E$178</definedName>
    <definedName name="CB_9661d1f0d31f4af58b2f8e48a1b6a527" localSheetId="2" hidden="1">'Feasibility Output'!$E$263</definedName>
    <definedName name="CB_971df779b1a448ae8c84b22211fb8d27" localSheetId="2" hidden="1">'Feasibility Output'!$E$312</definedName>
    <definedName name="CB_974587d553144e17a226bad326e6e881" localSheetId="2" hidden="1">'Feasibility Output'!$E$95</definedName>
    <definedName name="CB_976dc8b6871e4505bc2c200a6b7ef51c" localSheetId="2" hidden="1">'Feasibility Output'!$E$64</definedName>
    <definedName name="CB_98b65bf07dd34519af47b608f564a38d" localSheetId="2" hidden="1">'Feasibility Output'!$E$22</definedName>
    <definedName name="CB_98cdf6e922c542899c7c5dac43521f45" localSheetId="2" hidden="1">'Feasibility Output'!$E$34</definedName>
    <definedName name="CB_9927647a7176494187572c008a0a57d1" localSheetId="2" hidden="1">'Feasibility Output'!$E$184</definedName>
    <definedName name="CB_9935206e77ac452a987f6bf7ef63c58e" localSheetId="2" hidden="1">'Feasibility Output'!$E$290</definedName>
    <definedName name="CB_9acedd9dc5c3453d8ed2f0b7e4eded4d" localSheetId="2" hidden="1">'Feasibility Output'!$E$103</definedName>
    <definedName name="CB_9c5af2e2b9694c54b483fb8158e43e77" localSheetId="2" hidden="1">'Feasibility Output'!$E$108</definedName>
    <definedName name="CB_9c72c734353f4aa6befa59842c36cb3d" localSheetId="2" hidden="1">'Feasibility Output'!$E$262</definedName>
    <definedName name="CB_9d1d8f12a349498abcad6dba43eaaa66" localSheetId="2" hidden="1">'Feasibility Output'!$E$381</definedName>
    <definedName name="CB_9d9339f10997479bb24837ee35d861c0" localSheetId="2" hidden="1">'Feasibility Output'!$E$215</definedName>
    <definedName name="CB_9f33bf24c7eb42379289d7bba3e22505" localSheetId="2" hidden="1">'Feasibility Output'!$E$21</definedName>
    <definedName name="CB_9f3e9efcfcef4384af4f8bf5858bc0fe" localSheetId="2" hidden="1">'Feasibility Output'!$E$213</definedName>
    <definedName name="CB_9f93c492d1ed4177b9c7dc76bef661ca" localSheetId="2" hidden="1">'Feasibility Output'!$E$198</definedName>
    <definedName name="CB_9fea16fe8a2b4a52b56df82fc8917be9" localSheetId="2" hidden="1">'Feasibility Output'!$E$380</definedName>
    <definedName name="CB_a0fbd1ccff544437884acbd7391dfb6d" localSheetId="2" hidden="1">'Feasibility Output'!$E$214</definedName>
    <definedName name="CB_a2c0699d5e8f4c01bbc5b9bc17132023" localSheetId="2" hidden="1">'Feasibility Output'!$E$266</definedName>
    <definedName name="CB_a3220a945c1e40fcb37d4afafd4c8225" localSheetId="2" hidden="1">'Feasibility Output'!$E$110</definedName>
    <definedName name="CB_a45a646855544bfe8d821e5861fa3549" localSheetId="2" hidden="1">'Feasibility Output'!$E$361</definedName>
    <definedName name="CB_a5064566aa4543fc927344d2af05e624" localSheetId="2" hidden="1">'Feasibility Output'!$E$296</definedName>
    <definedName name="CB_a52951de9a4f4149b58d45ed222685a7" localSheetId="2" hidden="1">'Feasibility Output'!$E$12</definedName>
    <definedName name="CB_a5358e8e4761491ba22aabe005f41bec" localSheetId="2" hidden="1">'Feasibility Output'!$E$255</definedName>
    <definedName name="CB_a53767467e054678a5e8fa2f817a5c7d" localSheetId="2" hidden="1">'Feasibility Output'!$E$233</definedName>
    <definedName name="CB_a69f1898631a44bda955bd4f91265e54" localSheetId="2" hidden="1">'Feasibility Output'!$E$31</definedName>
    <definedName name="CB_a6af185115b6483ea3052cd6fc3cb41e" localSheetId="2" hidden="1">'Feasibility Output'!$E$166</definedName>
    <definedName name="CB_a6c1233f13af4ad1ba741a9d15ab2314" localSheetId="2" hidden="1">'Feasibility Output'!$E$20</definedName>
    <definedName name="CB_a7bbce4077b14de082d97ad1c0112a43" localSheetId="2" hidden="1">'Feasibility Output'!$E$65</definedName>
    <definedName name="CB_a7d37aeaad9f4212b428ca3cc4ab1aa1" localSheetId="2" hidden="1">'Feasibility Output'!$E$148</definedName>
    <definedName name="CB_a92881bb3972470080b86874059661ff" localSheetId="2" hidden="1">'Feasibility Output'!$E$362</definedName>
    <definedName name="CB_a99fb9ea9e7a4ffaa229d9cf20273659" localSheetId="2" hidden="1">'Feasibility Output'!$E$352</definedName>
    <definedName name="CB_aac704f3cfeb49dc84b6a0bc2a1d05ba" localSheetId="2" hidden="1">'Feasibility Output'!$E$85</definedName>
    <definedName name="CB_ab7b9309cc474037a61df497f39dc1ea" localSheetId="2" hidden="1">'Feasibility Output'!$E$302</definedName>
    <definedName name="CB_abdcd8f7a6c148bca038995e480cd0f0" localSheetId="2" hidden="1">'Feasibility Output'!$E$50</definedName>
    <definedName name="CB_ac856cb44ca34f33ab8980fca3367cc5" localSheetId="2" hidden="1">'Feasibility Output'!$E$205</definedName>
    <definedName name="CB_ae6acf980f48435f97ffbb429808e93d" localSheetId="2" hidden="1">'Feasibility Output'!$E$83</definedName>
    <definedName name="CB_af007207ceb74cecb5b5ab728f60c4dd" localSheetId="2" hidden="1">'Feasibility Output'!$E$346</definedName>
    <definedName name="CB_b0e10be20dbe49feb39205b937fb6a70" localSheetId="2" hidden="1">'Feasibility Output'!$E$109</definedName>
    <definedName name="CB_b18af0b4059e45fc8788720090829b4f" localSheetId="2" hidden="1">'Feasibility Output'!$E$145</definedName>
    <definedName name="CB_b1a1a6ed4dc94c31bc6c3fc641c6172e" localSheetId="2" hidden="1">'Feasibility Output'!$E$282</definedName>
    <definedName name="CB_b210146b23504a3098e72cb886c2bcd0" localSheetId="2" hidden="1">'Feasibility Output'!$E$345</definedName>
    <definedName name="CB_b2fd8f9a8acf4d88b07c60f9edbaa6b7" localSheetId="2" hidden="1">'Feasibility Output'!$E$30</definedName>
    <definedName name="CB_b4438ed6b30f451e977ddd2f3f6daff0" localSheetId="2" hidden="1">'Feasibility Output'!$E$80</definedName>
    <definedName name="CB_b45fd13c601a4d0a805ef16bd485c1c3" localSheetId="2" hidden="1">'Feasibility Output'!$E$93</definedName>
    <definedName name="CB_b4c3f6128a0d47879cf5dd1067e24aba" localSheetId="2" hidden="1">'Feasibility Output'!$E$24</definedName>
    <definedName name="CB_b76340b1769249c694f80556567bc826" localSheetId="2" hidden="1">'Feasibility Output'!$E$175</definedName>
    <definedName name="CB_b80b7d51177c47acbffc69ba11cdf19a" localSheetId="2" hidden="1">'Feasibility Output'!$E$58</definedName>
    <definedName name="CB_b82da39f3e7a492aa2f9aca8ba633d93" localSheetId="2" hidden="1">'Feasibility Output'!$E$261</definedName>
    <definedName name="CB_ba168e8900f84c669ba2088717103a1c" localSheetId="2" hidden="1">'Feasibility Output'!$E$218</definedName>
    <definedName name="CB_ba29791c26544189adbcb17edc536d96" localSheetId="2" hidden="1">'Feasibility Output'!$E$91</definedName>
    <definedName name="CB_bc70a417ba924be691be4350f120ec65" localSheetId="2" hidden="1">'Feasibility Output'!$E$270</definedName>
    <definedName name="CB_bd0035598de04cd9b2b457425a3a76da" localSheetId="2" hidden="1">'Feasibility Output'!$E$189</definedName>
    <definedName name="CB_bd327f22886841fa91353432cc4e80e4" localSheetId="2" hidden="1">'Feasibility Output'!$E$137</definedName>
    <definedName name="CB_bde0345b271148a3a1c249acec1b3fc9" localSheetId="2" hidden="1">'Feasibility Output'!$E$229</definedName>
    <definedName name="CB_be4ee8b41dc54a748811e3efbca21ad6" localSheetId="2" hidden="1">'Feasibility Output'!$E$133</definedName>
    <definedName name="CB_be735d516e8b45759633e3d8c3f33170" localSheetId="2" hidden="1">'Feasibility Output'!$E$210</definedName>
    <definedName name="CB_beeec9d188fc42b69e9a5d7c52f39b3e" localSheetId="2" hidden="1">'Feasibility Output'!$E$96</definedName>
    <definedName name="CB_Block_00000000000000000000000000000000" localSheetId="3" hidden="1">"'7.0.0.0"</definedName>
    <definedName name="CB_Block_00000000000000000000000000000000" localSheetId="2" hidden="1">"'7.0.0.0"</definedName>
    <definedName name="CB_Block_00000000000000000000000000000001" localSheetId="0" hidden="1">"'635851304040713297"</definedName>
    <definedName name="CB_Block_00000000000000000000000000000001" localSheetId="3" hidden="1">"'635851304040664467"</definedName>
    <definedName name="CB_Block_00000000000000000000000000000001" localSheetId="2" hidden="1">"'635851304039375355"</definedName>
    <definedName name="CB_Block_00000000000000000000000000000003" localSheetId="3" hidden="1">"'11.1.3708.0"</definedName>
    <definedName name="CB_Block_00000000000000000000000000000003" localSheetId="2" hidden="1">"'11.1.3708.0"</definedName>
    <definedName name="CB_BlockExt_00000000000000000000000000000003" localSheetId="3" hidden="1">"'11.1.2.3.500"</definedName>
    <definedName name="CB_BlockExt_00000000000000000000000000000003" localSheetId="2" hidden="1">"'11.1.2.3.500"</definedName>
    <definedName name="CB_c00b61d8e4a945d5bceba72605392a1d" localSheetId="2" hidden="1">'Feasibility Output'!$E$281</definedName>
    <definedName name="CB_c01061f155d44516913038d21ea43e24" localSheetId="2" hidden="1">'Feasibility Output'!$E$73</definedName>
    <definedName name="CB_c1059c215f6747f8a72bd8353a417f7a" localSheetId="2" hidden="1">'Feasibility Output'!$E$383</definedName>
    <definedName name="CB_c2552a97f1ca45e9ad291288e1ca4365" localSheetId="2" hidden="1">'Feasibility Output'!$E$357</definedName>
    <definedName name="CB_c2f39139074445cfac3c94f5be6d847e" localSheetId="2" hidden="1">'Feasibility Output'!$E$343</definedName>
    <definedName name="CB_c3022860fe8949e0b81df609cc88996d" localSheetId="2" hidden="1">'Feasibility Output'!$E$170</definedName>
    <definedName name="CB_c3b3e34d8b9c4570b1f9ff48cd605fab" localSheetId="2" hidden="1">'Feasibility Output'!$E$164</definedName>
    <definedName name="CB_c3e1146434f4491489c843f344483519" localSheetId="2" hidden="1">'Feasibility Output'!$E$191</definedName>
    <definedName name="CB_c5223c79de6040f5b4f93f268aba4291" localSheetId="2" hidden="1">'Feasibility Output'!$E$287</definedName>
    <definedName name="CB_c527919b4d47482d8bacf0d18556fcc7" localSheetId="2" hidden="1">'Feasibility Output'!$E$10</definedName>
    <definedName name="CB_c5394c0c19994eba9faff6b1f1f9f57f" localSheetId="2" hidden="1">'Feasibility Output'!$E$199</definedName>
    <definedName name="CB_c566cc4978a84ae29347fb12c7fd4485" localSheetId="2" hidden="1">'Feasibility Output'!$E$299</definedName>
    <definedName name="CB_c5ee56f022ca426cae15ed7035553a41" localSheetId="2" hidden="1">'Feasibility Output'!$E$46</definedName>
    <definedName name="CB_c6788272e69c4ce48a4a285e1f318aee" localSheetId="2" hidden="1">'Feasibility Output'!$E$169</definedName>
    <definedName name="CB_c6a4c73c643642f791ccc5ac0d707982" localSheetId="2" hidden="1">'Feasibility Output'!$E$102</definedName>
    <definedName name="CB_c6d1cdd268c94fb483185b94120e9870" localSheetId="2" hidden="1">'Feasibility Output'!$E$67</definedName>
    <definedName name="CB_c72edabaca2b4fdb926205112d18da48" localSheetId="2" hidden="1">'Feasibility Output'!$E$211</definedName>
    <definedName name="CB_c746f5d584b742fca5a65fe63a61d9e6" localSheetId="2" hidden="1">'Feasibility Output'!$E$54</definedName>
    <definedName name="CB_c79a4b1b5237476fa741859ba2cf5acb" localSheetId="2" hidden="1">'Feasibility Output'!$E$8</definedName>
    <definedName name="CB_c8f58d3bfe7844cfa30e97abd82be562" localSheetId="2" hidden="1">'Feasibility Output'!$E$56</definedName>
    <definedName name="CB_ca16c8af1bc4433b90cd4a7963602859" localSheetId="2" hidden="1">'Feasibility Output'!$E$223</definedName>
    <definedName name="CB_caede800e8b64726966db041a87e3ce2" localSheetId="2" hidden="1">'Feasibility Output'!$E$78</definedName>
    <definedName name="CB_ccc1467f75d142f0836c4c70df02397b" localSheetId="2" hidden="1">'Feasibility Output'!$E$112</definedName>
    <definedName name="CB_cddfc602b2ee47829f4dbf9dd34da794" localSheetId="2" hidden="1">'Feasibility Output'!$E$379</definedName>
    <definedName name="CB_ce27f873ceb04340b68ca56cd4ccd45e" localSheetId="2" hidden="1">'Feasibility Output'!$E$370</definedName>
    <definedName name="CB_ce4c0ba993fd403b838d8057fdf43be3" localSheetId="2" hidden="1">'Feasibility Output'!$E$125</definedName>
    <definedName name="CB_cefd9864c44148fa831d308c8e945893" localSheetId="2" hidden="1">'Feasibility Output'!$E$124</definedName>
    <definedName name="CB_cfe9fa72bab848959de153e464aa1f2e" localSheetId="2" hidden="1">'Feasibility Output'!$E$140</definedName>
    <definedName name="CB_d095b29210b14a59b5e566595daaf1c0" localSheetId="2" hidden="1">'Feasibility Output'!$E$269</definedName>
    <definedName name="CB_d099edd8c7414c638c9045c7c451ec16" localSheetId="2" hidden="1">'Feasibility Output'!$E$224</definedName>
    <definedName name="CB_d0c910553afe46569b181c3d9cf6e343" localSheetId="2" hidden="1">'Feasibility Output'!$E$154</definedName>
    <definedName name="CB_d124d54d2d5d4d46b10a0ad430188aa3" localSheetId="2" hidden="1">'Feasibility Output'!$E$208</definedName>
    <definedName name="CB_d1a801b42c6e43dfb1046952a28369d8" localSheetId="2" hidden="1">'Feasibility Output'!$E$134</definedName>
    <definedName name="CB_d2e20d312edd45e982c04a1f03a282c6" localSheetId="2" hidden="1">'Feasibility Output'!$E$350</definedName>
    <definedName name="CB_d38837dd35e74a208461bbf9fc8ec201" localSheetId="2" hidden="1">'Feasibility Output'!$E$104</definedName>
    <definedName name="CB_d43139e130e74704910815da1f7a29cc" localSheetId="2" hidden="1">'Feasibility Output'!$E$131</definedName>
    <definedName name="CB_d4cc28690cd8446898297ba4df3c788c" localSheetId="2" hidden="1">'Feasibility Output'!$E$328</definedName>
    <definedName name="CB_d5e6dc54ea0342c5be0899e25bed0946" localSheetId="2" hidden="1">'Feasibility Output'!$E$44</definedName>
    <definedName name="CB_d66f9693d663444f9869de743c38f5b1" localSheetId="2" hidden="1">'Feasibility Output'!$E$14</definedName>
    <definedName name="CB_d769c6dca27640daa3523ab06d014772" localSheetId="2" hidden="1">'Feasibility Output'!$E$225</definedName>
    <definedName name="CB_d7d202575e404b2c8aafcd5a1dcf8812" localSheetId="2" hidden="1">'Feasibility Output'!$E$337</definedName>
    <definedName name="CB_d8e3b709c6e440f8907d7518565ef161" localSheetId="2" hidden="1">'Feasibility Output'!$E$375</definedName>
    <definedName name="CB_da5358c63e3d4adcae74e9bc2010998a" localSheetId="2" hidden="1">'Feasibility Output'!$E$322</definedName>
    <definedName name="CB_da8666fc54ec4792887e2f64fabe96e9" localSheetId="2" hidden="1">'Feasibility Output'!$E$226</definedName>
    <definedName name="CB_db8036e624bd4ca683f396a5597166a6" localSheetId="2" hidden="1">'Feasibility Output'!$E$283</definedName>
    <definedName name="CB_dc4c2bee756849fcb61f98b143bf90b0" localSheetId="2" hidden="1">'Feasibility Output'!$E$333</definedName>
    <definedName name="CB_dcc92bbd7b414396bb480a311afd0aa2" localSheetId="2" hidden="1">'Feasibility Output'!$E$311</definedName>
    <definedName name="CB_dcd116c2ecba43fabaef12bfb95e4286" localSheetId="2" hidden="1">'Feasibility Output'!$E$88</definedName>
    <definedName name="CB_dd8f1950216b444088d52a6876e36c95" localSheetId="2" hidden="1">'Feasibility Output'!$E$200</definedName>
    <definedName name="CB_de1ec2b59b4e49f1be5e1899363cf092" localSheetId="2" hidden="1">'Feasibility Output'!$E$53</definedName>
    <definedName name="CB_dfafc4cd48aa4cf888fb7b006ee30265" localSheetId="2" hidden="1">'Feasibility Output'!$E$230</definedName>
    <definedName name="CB_e056a5c954dd47868062b4057014c01f" localSheetId="2" hidden="1">'Feasibility Output'!$E$33</definedName>
    <definedName name="CB_e0dfcd0e47e3427992029efbee31f67f" localSheetId="2" hidden="1">'Feasibility Output'!$E$106</definedName>
    <definedName name="CB_e211ee9746f641eeaec66ff553f9d10e" localSheetId="2" hidden="1">'Feasibility Output'!$E$157</definedName>
    <definedName name="CB_e369e4a2862241fdbc3a3c10614e556b" localSheetId="2" hidden="1">'Feasibility Output'!$E$4</definedName>
    <definedName name="CB_e371a5221676430c8755eb1291687019" localSheetId="2" hidden="1">'Feasibility Output'!$E$241</definedName>
    <definedName name="CB_e39e8180e3c544aab0ce34c626f673ef" localSheetId="2" hidden="1">'Feasibility Output'!$E$13</definedName>
    <definedName name="CB_e406224ff13944c795536b5830879c5e" localSheetId="2" hidden="1">'Feasibility Output'!$E$305</definedName>
    <definedName name="CB_e420f16928ef4c0fba3379b68463cb4f" localSheetId="2" hidden="1">'Feasibility Output'!$E$7</definedName>
    <definedName name="CB_e4456117e2384e12a421dd42bd3188de" localSheetId="2" hidden="1">'Feasibility Output'!$E$37</definedName>
    <definedName name="CB_e47cebe9f974492f81c1652a4e9c296a" localSheetId="2" hidden="1">'Feasibility Output'!$E$185</definedName>
    <definedName name="CB_e4f20e9da9a04d5ca3dce50a89d02c66" localSheetId="2" hidden="1">'Feasibility Output'!$E$23</definedName>
    <definedName name="CB_e601df8b545d46df853fb2be7f12d80c" localSheetId="2" hidden="1">'Feasibility Output'!$E$135</definedName>
    <definedName name="CB_e82f4d042e3a40c5bea226302369010e" localSheetId="2" hidden="1">'Feasibility Output'!$E$204</definedName>
    <definedName name="CB_e86fc955979a4040b020ec732bb42e33" localSheetId="2" hidden="1">'Feasibility Output'!$E$126</definedName>
    <definedName name="CB_e9aea45efaee4fb28da47a6840029ead" localSheetId="2" hidden="1">'Feasibility Output'!$E$307</definedName>
    <definedName name="CB_eac05f0e8b5e44f9a16d0c73599e766d" localSheetId="2" hidden="1">'Feasibility Output'!$E$344</definedName>
    <definedName name="CB_eb69472cb50a43bcb4c0db019373e4de" localSheetId="2" hidden="1">'Feasibility Output'!$E$274</definedName>
    <definedName name="CB_ec3c50caa7a94ffb80efcceb265a110b" localSheetId="2" hidden="1">'Feasibility Output'!$E$6</definedName>
    <definedName name="CB_ec63b3384f2342538f886277eba03844" localSheetId="2" hidden="1">'Feasibility Output'!$E$156</definedName>
    <definedName name="CB_ee07ac68afd7459ebb13de5aa48877c7" localSheetId="2" hidden="1">'Feasibility Output'!$E$16</definedName>
    <definedName name="CB_ee9e53aa97db471bbf720616cdde8735" localSheetId="2" hidden="1">'Feasibility Output'!$E$142</definedName>
    <definedName name="CB_f056b5d988334bc5a2c527abc8636863" localSheetId="2" hidden="1">'Feasibility Output'!$E$309</definedName>
    <definedName name="CB_f13b6c82cfbd4a4da0eda6d9273d2f34" localSheetId="2" hidden="1">'Feasibility Output'!$E$351</definedName>
    <definedName name="CB_f15e10131b294ba3adddbd7edc83da29" localSheetId="2" hidden="1">'Feasibility Output'!$E$249</definedName>
    <definedName name="CB_f2087e28251a4a6faf6300b7b90a593e" localSheetId="2" hidden="1">'Feasibility Output'!$E$341</definedName>
    <definedName name="CB_f247fd69ebfe49c69e07e4173ba74485" localSheetId="2" hidden="1">'Feasibility Output'!$E$367</definedName>
    <definedName name="CB_f284d83fd5394c94b525a5b6bc863273" localSheetId="2" hidden="1">'Feasibility Output'!$E$353</definedName>
    <definedName name="CB_f2e86af8a33f473e8aae6bdcc8889d87" localSheetId="2" hidden="1">'Feasibility Output'!$E$68</definedName>
    <definedName name="CB_f3904b5a6160440dab96310d0876fad7" localSheetId="2" hidden="1">'Feasibility Output'!$E$378</definedName>
    <definedName name="CB_f405635138c6467bb4cc16d67f6cc567" localSheetId="2" hidden="1">'Feasibility Output'!$E$317</definedName>
    <definedName name="CB_f4e7d94ab8ef43ce8085a7e0548b0dc5" localSheetId="2" hidden="1">'Feasibility Output'!$E$256</definedName>
    <definedName name="CB_f538bbf6ea51439f95ef38e27f01972d" localSheetId="2" hidden="1">'Feasibility Output'!$E$182</definedName>
    <definedName name="CB_f55765c59f1748eeb329a53fe02d9d7b" localSheetId="2" hidden="1">'Feasibility Output'!$E$232</definedName>
    <definedName name="CB_f63a65deeebf4f13a6c7e778420d020a" localSheetId="2" hidden="1">'Feasibility Output'!$E$355</definedName>
    <definedName name="CB_f6dfebbae7f44fe5a5fd3dc1ee122271" localSheetId="2" hidden="1">'Feasibility Output'!$E$243</definedName>
    <definedName name="CB_f6e532c83cc14211a9571711d6b9d532" localSheetId="2" hidden="1">'Feasibility Output'!$E$71</definedName>
    <definedName name="CB_f9686363b30c4d79a38cf3828286ba5b" localSheetId="2" hidden="1">'Feasibility Output'!$E$212</definedName>
    <definedName name="CB_f97d532a34f34226972a64bb01c31f66" localSheetId="2" hidden="1">'Feasibility Output'!$E$284</definedName>
    <definedName name="CB_f9c4e400207e447cace549236c44b337" localSheetId="2" hidden="1">'Feasibility Output'!$E$251</definedName>
    <definedName name="CB_fa2b69503f0447f7ac6a79755f843eac" localSheetId="2" hidden="1">'Feasibility Output'!$E$252</definedName>
    <definedName name="CB_fac3ba74366f47fb97dfadd8fe135910" localSheetId="2" hidden="1">'Feasibility Output'!$E$118</definedName>
    <definedName name="CB_fad275365d844039802320be7a594af4" localSheetId="2" hidden="1">'Feasibility Output'!$E$84</definedName>
    <definedName name="CB_fbccbfec287b4e718d7a5a80fedf8e25" localSheetId="2" hidden="1">'Feasibility Output'!$E$81</definedName>
    <definedName name="CB_fceb3e9e311248b3a355fc77efc9430c" localSheetId="2" hidden="1">'Feasibility Output'!$E$264</definedName>
    <definedName name="CB_fd36ffd5ac7b48779a71a1e6d0ad905c" localSheetId="2" hidden="1">'Feasibility Output'!$E$271</definedName>
    <definedName name="CB_fd3e13935381482c9432ccfe9e551702" localSheetId="2" hidden="1">'Feasibility Output'!$E$94</definedName>
    <definedName name="CB_fd7a1943a8c24747acadc35dee12aa18" localSheetId="2" hidden="1">'Feasibility Output'!$E$26</definedName>
    <definedName name="CB_fdbcf4f20f734cb5bbc70d229f792d03" localSheetId="2" hidden="1">'Feasibility Output'!$E$98</definedName>
    <definedName name="CB_fe8f7e8e53e5497d9945a8dcf54f2e56" localSheetId="2" hidden="1">'Feasibility Output'!$E$371</definedName>
    <definedName name="CB_fec38d3ea01a40bc97708b3b94dea201" localSheetId="2" hidden="1">'Feasibility Output'!$E$139</definedName>
    <definedName name="CBWorkbookPriority" localSheetId="0" hidden="1">-684091800</definedName>
    <definedName name="CBx_0504037ac1ac4b7f9f0e6ead50240234" localSheetId="0" hidden="1">"'Feasibility Output'!$A$1"</definedName>
    <definedName name="CBx_2d934d373de041e7b85200e338a2a4f4" localSheetId="0" hidden="1">"'CrystalBall Pair Generation'!$A$1"</definedName>
    <definedName name="CBx_c9b3399326a74dfba03be95e9e776bdf" localSheetId="0" hidden="1">"'CB_DATA_'!$A$1"</definedName>
    <definedName name="CBx_Sheet_Guid" localSheetId="0" hidden="1">"'c9b33993-26a7-4dfb-a03b-e95e9e776bdf"</definedName>
    <definedName name="CBx_Sheet_Guid" localSheetId="3" hidden="1">"'2d934d37-3de0-41e7-b852-00e338a2a4f4"</definedName>
    <definedName name="CBx_Sheet_Guid" localSheetId="2" hidden="1">"'0504037a-c1ac-4b7f-9f0e-6ead50240234"</definedName>
    <definedName name="CBx_SheetRef" localSheetId="0" hidden="1">CB_DATA_!$A$14</definedName>
    <definedName name="CBx_SheetRef" localSheetId="3" hidden="1">CB_DATA_!$B$14</definedName>
    <definedName name="CBx_SheetRef" localSheetId="2" hidden="1">CB_DATA_!$C$14</definedName>
    <definedName name="CBx_StorageType" localSheetId="0" hidden="1">2</definedName>
    <definedName name="CBx_StorageType" localSheetId="3" hidden="1">2</definedName>
    <definedName name="CBx_StorageType" localSheetId="2" hidden="1">2</definedName>
    <definedName name="count">'Feasibility Output'!$A$4:$A$383</definedName>
    <definedName name="D">'Feasibility Output'!$B$4:$B$16</definedName>
    <definedName name="DN">'Feasibility Output'!$B$4:$B$16</definedName>
    <definedName name="Donating">#REF!</definedName>
    <definedName name="donatingto">'Feasibility Output'!$B$4:$B$383</definedName>
    <definedName name="In">#REF!</definedName>
    <definedName name="Out">#REF!</definedName>
    <definedName name="Output">'Feasibility Output'!$B$3:$C$16</definedName>
    <definedName name="Receiving">#REF!</definedName>
    <definedName name="receivingin">'Feasibility Output'!$C$4:$C$383</definedName>
    <definedName name="RN">'Feasibility Output'!$C$4:$C$16</definedName>
    <definedName name="solver_adj" localSheetId="2" hidden="1">'Feasibility Output'!$E$4:$E$383</definedName>
    <definedName name="solver_cvg" localSheetId="2" hidden="1">0.0001</definedName>
    <definedName name="solver_drv" localSheetId="2" hidden="1">2</definedName>
    <definedName name="solver_eng" localSheetId="2" hidden="1">2</definedName>
    <definedName name="solver_est" localSheetId="2" hidden="1">1</definedName>
    <definedName name="solver_itr" localSheetId="2" hidden="1">2147483647</definedName>
    <definedName name="solver_lhs1" localSheetId="2" hidden="1">'Feasibility Output'!$D$4:$D$383</definedName>
    <definedName name="solver_lhs2" localSheetId="2" hidden="1">'Feasibility Output'!$E$4:$E$383</definedName>
    <definedName name="solver_lhs3" localSheetId="2" hidden="1">'Feasibility Output'!$I$26:$I$45</definedName>
    <definedName name="solver_lhs4" localSheetId="2" hidden="1">'Feasibility Output'!$I$4:$I$23</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4</definedName>
    <definedName name="solver_nwt" localSheetId="2" hidden="1">1</definedName>
    <definedName name="solver_opt" localSheetId="2" hidden="1">'Feasibility Output'!$N$9</definedName>
    <definedName name="solver_pre" localSheetId="2" hidden="1">0.000001</definedName>
    <definedName name="solver_rbv" localSheetId="2" hidden="1">2</definedName>
    <definedName name="solver_rel1" localSheetId="2" hidden="1">3</definedName>
    <definedName name="solver_rel2" localSheetId="2" hidden="1">5</definedName>
    <definedName name="solver_rel3" localSheetId="2" hidden="1">1</definedName>
    <definedName name="solver_rel4" localSheetId="2" hidden="1">2</definedName>
    <definedName name="solver_rhs1" localSheetId="2" hidden="1">'Feasibility Output'!$E$4:$E$383</definedName>
    <definedName name="solver_rhs2" localSheetId="2" hidden="1">binary</definedName>
    <definedName name="solver_rhs3" localSheetId="2" hidden="1">'Feasibility Output'!$K$26:$K$45</definedName>
    <definedName name="solver_rhs4" localSheetId="2" hidden="1">'Feasibility Output'!$K$4:$K$23</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1</definedName>
    <definedName name="solver_val" localSheetId="2" hidden="1">0</definedName>
    <definedName name="solver_ver" localSheetId="2" hidden="1">3</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I27" i="5" l="1"/>
  <c r="I28" i="5"/>
  <c r="I29" i="5"/>
  <c r="I30" i="5"/>
  <c r="I31" i="5"/>
  <c r="I32" i="5"/>
  <c r="I33" i="5"/>
  <c r="I34" i="5"/>
  <c r="I35" i="5"/>
  <c r="I36" i="5"/>
  <c r="I37" i="5"/>
  <c r="I38" i="5"/>
  <c r="I39" i="5"/>
  <c r="I40" i="5"/>
  <c r="I41" i="5"/>
  <c r="I42" i="5"/>
  <c r="I43" i="5"/>
  <c r="I44" i="5"/>
  <c r="I45" i="5"/>
  <c r="I26" i="5"/>
  <c r="I5" i="5"/>
  <c r="I6" i="5"/>
  <c r="I7" i="5"/>
  <c r="I8" i="5"/>
  <c r="I9" i="5"/>
  <c r="I10" i="5"/>
  <c r="I11" i="5"/>
  <c r="I12" i="5"/>
  <c r="I13" i="5"/>
  <c r="I14" i="5"/>
  <c r="I15" i="5"/>
  <c r="I16" i="5"/>
  <c r="I17" i="5"/>
  <c r="I18" i="5"/>
  <c r="I19" i="5"/>
  <c r="I20" i="5"/>
  <c r="I21" i="5"/>
  <c r="I22" i="5"/>
  <c r="I23" i="5"/>
  <c r="I4" i="5"/>
  <c r="N9" i="5"/>
  <c r="C11" i="3" l="1"/>
  <c r="K27" i="5"/>
  <c r="K28" i="5"/>
  <c r="K29" i="5"/>
  <c r="K30" i="5"/>
  <c r="K31" i="5"/>
  <c r="K32" i="5"/>
  <c r="K33" i="5"/>
  <c r="K34" i="5"/>
  <c r="K35" i="5"/>
  <c r="K36" i="5"/>
  <c r="K37" i="5"/>
  <c r="K38" i="5"/>
  <c r="K39" i="5"/>
  <c r="K40" i="5"/>
  <c r="K41" i="5"/>
  <c r="K42" i="5"/>
  <c r="K43" i="5"/>
  <c r="K44" i="5"/>
  <c r="K45" i="5"/>
  <c r="K26" i="5"/>
  <c r="H384" i="4" l="1"/>
  <c r="C383" i="5" s="1"/>
  <c r="G384" i="4"/>
  <c r="B383" i="5" s="1"/>
  <c r="H383" i="4"/>
  <c r="C382" i="5" s="1"/>
  <c r="G383" i="4"/>
  <c r="B382" i="5" s="1"/>
  <c r="H382" i="4"/>
  <c r="C381" i="5" s="1"/>
  <c r="G382" i="4"/>
  <c r="B381" i="5" s="1"/>
  <c r="H381" i="4"/>
  <c r="C380" i="5" s="1"/>
  <c r="G381" i="4"/>
  <c r="B380" i="5" s="1"/>
  <c r="H380" i="4"/>
  <c r="C379" i="5" s="1"/>
  <c r="G380" i="4"/>
  <c r="B379" i="5" s="1"/>
  <c r="H379" i="4"/>
  <c r="C378" i="5" s="1"/>
  <c r="G379" i="4"/>
  <c r="B378" i="5" s="1"/>
  <c r="H378" i="4"/>
  <c r="C377" i="5" s="1"/>
  <c r="G378" i="4"/>
  <c r="B377" i="5" s="1"/>
  <c r="H377" i="4"/>
  <c r="C376" i="5" s="1"/>
  <c r="G377" i="4"/>
  <c r="B376" i="5" s="1"/>
  <c r="H376" i="4"/>
  <c r="C375" i="5" s="1"/>
  <c r="G376" i="4"/>
  <c r="B375" i="5" s="1"/>
  <c r="H375" i="4"/>
  <c r="C374" i="5" s="1"/>
  <c r="G375" i="4"/>
  <c r="B374" i="5" s="1"/>
  <c r="H374" i="4"/>
  <c r="C373" i="5" s="1"/>
  <c r="G374" i="4"/>
  <c r="B373" i="5" s="1"/>
  <c r="H373" i="4"/>
  <c r="C372" i="5" s="1"/>
  <c r="G373" i="4"/>
  <c r="B372" i="5" s="1"/>
  <c r="H372" i="4"/>
  <c r="C371" i="5" s="1"/>
  <c r="G372" i="4"/>
  <c r="B371" i="5" s="1"/>
  <c r="H371" i="4"/>
  <c r="C370" i="5" s="1"/>
  <c r="G371" i="4"/>
  <c r="B370" i="5" s="1"/>
  <c r="H370" i="4"/>
  <c r="C369" i="5" s="1"/>
  <c r="G370" i="4"/>
  <c r="B369" i="5" s="1"/>
  <c r="H369" i="4"/>
  <c r="C368" i="5" s="1"/>
  <c r="G369" i="4"/>
  <c r="B368" i="5" s="1"/>
  <c r="H368" i="4"/>
  <c r="C367" i="5" s="1"/>
  <c r="G368" i="4"/>
  <c r="B367" i="5" s="1"/>
  <c r="H367" i="4"/>
  <c r="C366" i="5" s="1"/>
  <c r="G367" i="4"/>
  <c r="B366" i="5" s="1"/>
  <c r="H366" i="4"/>
  <c r="C365" i="5" s="1"/>
  <c r="G366" i="4"/>
  <c r="B365" i="5" s="1"/>
  <c r="H365" i="4"/>
  <c r="C364" i="5" s="1"/>
  <c r="G365" i="4"/>
  <c r="B364" i="5" s="1"/>
  <c r="H364" i="4"/>
  <c r="C363" i="5" s="1"/>
  <c r="G364" i="4"/>
  <c r="B363" i="5" s="1"/>
  <c r="H363" i="4"/>
  <c r="C362" i="5" s="1"/>
  <c r="G363" i="4"/>
  <c r="B362" i="5" s="1"/>
  <c r="H362" i="4"/>
  <c r="C361" i="5" s="1"/>
  <c r="G362" i="4"/>
  <c r="B361" i="5" s="1"/>
  <c r="H361" i="4"/>
  <c r="C360" i="5" s="1"/>
  <c r="G361" i="4"/>
  <c r="B360" i="5" s="1"/>
  <c r="H360" i="4"/>
  <c r="C359" i="5" s="1"/>
  <c r="G360" i="4"/>
  <c r="B359" i="5" s="1"/>
  <c r="H359" i="4"/>
  <c r="C358" i="5" s="1"/>
  <c r="G359" i="4"/>
  <c r="B358" i="5" s="1"/>
  <c r="H358" i="4"/>
  <c r="C357" i="5" s="1"/>
  <c r="G358" i="4"/>
  <c r="B357" i="5" s="1"/>
  <c r="H357" i="4"/>
  <c r="C356" i="5" s="1"/>
  <c r="G357" i="4"/>
  <c r="B356" i="5" s="1"/>
  <c r="H356" i="4"/>
  <c r="C355" i="5" s="1"/>
  <c r="G356" i="4"/>
  <c r="B355" i="5" s="1"/>
  <c r="H355" i="4"/>
  <c r="C354" i="5" s="1"/>
  <c r="G355" i="4"/>
  <c r="B354" i="5" s="1"/>
  <c r="H354" i="4"/>
  <c r="C353" i="5" s="1"/>
  <c r="G354" i="4"/>
  <c r="B353" i="5" s="1"/>
  <c r="H353" i="4"/>
  <c r="C352" i="5" s="1"/>
  <c r="G353" i="4"/>
  <c r="B352" i="5" s="1"/>
  <c r="H352" i="4"/>
  <c r="C351" i="5" s="1"/>
  <c r="G352" i="4"/>
  <c r="B351" i="5" s="1"/>
  <c r="H351" i="4"/>
  <c r="C350" i="5" s="1"/>
  <c r="G351" i="4"/>
  <c r="B350" i="5" s="1"/>
  <c r="H350" i="4"/>
  <c r="C349" i="5" s="1"/>
  <c r="G350" i="4"/>
  <c r="B349" i="5" s="1"/>
  <c r="H349" i="4"/>
  <c r="C348" i="5" s="1"/>
  <c r="G349" i="4"/>
  <c r="B348" i="5" s="1"/>
  <c r="H348" i="4"/>
  <c r="C347" i="5" s="1"/>
  <c r="G348" i="4"/>
  <c r="B347" i="5" s="1"/>
  <c r="H347" i="4"/>
  <c r="C346" i="5" s="1"/>
  <c r="G347" i="4"/>
  <c r="B346" i="5" s="1"/>
  <c r="H346" i="4"/>
  <c r="C345" i="5" s="1"/>
  <c r="G346" i="4"/>
  <c r="B345" i="5" s="1"/>
  <c r="H345" i="4"/>
  <c r="C344" i="5" s="1"/>
  <c r="G345" i="4"/>
  <c r="B344" i="5" s="1"/>
  <c r="H344" i="4"/>
  <c r="C343" i="5" s="1"/>
  <c r="G344" i="4"/>
  <c r="B343" i="5" s="1"/>
  <c r="H343" i="4"/>
  <c r="C342" i="5" s="1"/>
  <c r="G343" i="4"/>
  <c r="B342" i="5" s="1"/>
  <c r="H342" i="4"/>
  <c r="C341" i="5" s="1"/>
  <c r="G342" i="4"/>
  <c r="B341" i="5" s="1"/>
  <c r="H341" i="4"/>
  <c r="C340" i="5" s="1"/>
  <c r="G341" i="4"/>
  <c r="B340" i="5" s="1"/>
  <c r="H340" i="4"/>
  <c r="C339" i="5" s="1"/>
  <c r="G340" i="4"/>
  <c r="B339" i="5" s="1"/>
  <c r="H339" i="4"/>
  <c r="C338" i="5" s="1"/>
  <c r="G339" i="4"/>
  <c r="B338" i="5" s="1"/>
  <c r="H338" i="4"/>
  <c r="C337" i="5" s="1"/>
  <c r="G338" i="4"/>
  <c r="B337" i="5" s="1"/>
  <c r="H337" i="4"/>
  <c r="C336" i="5" s="1"/>
  <c r="G337" i="4"/>
  <c r="B336" i="5" s="1"/>
  <c r="H336" i="4"/>
  <c r="C335" i="5" s="1"/>
  <c r="G336" i="4"/>
  <c r="B335" i="5" s="1"/>
  <c r="H335" i="4"/>
  <c r="C334" i="5" s="1"/>
  <c r="G335" i="4"/>
  <c r="B334" i="5" s="1"/>
  <c r="H334" i="4"/>
  <c r="C333" i="5" s="1"/>
  <c r="G334" i="4"/>
  <c r="B333" i="5" s="1"/>
  <c r="H333" i="4"/>
  <c r="C332" i="5" s="1"/>
  <c r="G333" i="4"/>
  <c r="B332" i="5" s="1"/>
  <c r="H332" i="4"/>
  <c r="C331" i="5" s="1"/>
  <c r="G332" i="4"/>
  <c r="B331" i="5" s="1"/>
  <c r="H331" i="4"/>
  <c r="C330" i="5" s="1"/>
  <c r="G331" i="4"/>
  <c r="B330" i="5" s="1"/>
  <c r="H330" i="4"/>
  <c r="C329" i="5" s="1"/>
  <c r="G330" i="4"/>
  <c r="B329" i="5" s="1"/>
  <c r="H329" i="4"/>
  <c r="C328" i="5" s="1"/>
  <c r="G329" i="4"/>
  <c r="B328" i="5" s="1"/>
  <c r="H328" i="4"/>
  <c r="C327" i="5" s="1"/>
  <c r="G328" i="4"/>
  <c r="B327" i="5" s="1"/>
  <c r="H327" i="4"/>
  <c r="C326" i="5" s="1"/>
  <c r="G327" i="4"/>
  <c r="B326" i="5" s="1"/>
  <c r="H326" i="4"/>
  <c r="C325" i="5" s="1"/>
  <c r="G326" i="4"/>
  <c r="B325" i="5" s="1"/>
  <c r="H325" i="4"/>
  <c r="C324" i="5" s="1"/>
  <c r="G325" i="4"/>
  <c r="B324" i="5" s="1"/>
  <c r="H324" i="4"/>
  <c r="C323" i="5" s="1"/>
  <c r="G324" i="4"/>
  <c r="B323" i="5" s="1"/>
  <c r="H323" i="4"/>
  <c r="C322" i="5" s="1"/>
  <c r="G323" i="4"/>
  <c r="B322" i="5" s="1"/>
  <c r="H322" i="4"/>
  <c r="C321" i="5" s="1"/>
  <c r="G322" i="4"/>
  <c r="B321" i="5" s="1"/>
  <c r="H321" i="4"/>
  <c r="C320" i="5" s="1"/>
  <c r="G321" i="4"/>
  <c r="B320" i="5" s="1"/>
  <c r="H320" i="4"/>
  <c r="C319" i="5" s="1"/>
  <c r="G320" i="4"/>
  <c r="B319" i="5" s="1"/>
  <c r="H319" i="4"/>
  <c r="C318" i="5" s="1"/>
  <c r="G319" i="4"/>
  <c r="B318" i="5" s="1"/>
  <c r="H318" i="4"/>
  <c r="C317" i="5" s="1"/>
  <c r="G318" i="4"/>
  <c r="B317" i="5" s="1"/>
  <c r="H317" i="4"/>
  <c r="C316" i="5" s="1"/>
  <c r="G317" i="4"/>
  <c r="B316" i="5" s="1"/>
  <c r="H316" i="4"/>
  <c r="C315" i="5" s="1"/>
  <c r="G316" i="4"/>
  <c r="B315" i="5" s="1"/>
  <c r="H315" i="4"/>
  <c r="C314" i="5" s="1"/>
  <c r="G315" i="4"/>
  <c r="B314" i="5" s="1"/>
  <c r="H314" i="4"/>
  <c r="C313" i="5" s="1"/>
  <c r="G314" i="4"/>
  <c r="B313" i="5" s="1"/>
  <c r="H313" i="4"/>
  <c r="C312" i="5" s="1"/>
  <c r="G313" i="4"/>
  <c r="B312" i="5" s="1"/>
  <c r="H312" i="4"/>
  <c r="C311" i="5" s="1"/>
  <c r="G312" i="4"/>
  <c r="B311" i="5" s="1"/>
  <c r="H311" i="4"/>
  <c r="C310" i="5" s="1"/>
  <c r="G311" i="4"/>
  <c r="B310" i="5" s="1"/>
  <c r="H310" i="4"/>
  <c r="C309" i="5" s="1"/>
  <c r="G310" i="4"/>
  <c r="B309" i="5" s="1"/>
  <c r="H309" i="4"/>
  <c r="C308" i="5" s="1"/>
  <c r="G309" i="4"/>
  <c r="B308" i="5" s="1"/>
  <c r="H308" i="4"/>
  <c r="C307" i="5" s="1"/>
  <c r="G308" i="4"/>
  <c r="B307" i="5" s="1"/>
  <c r="H307" i="4"/>
  <c r="C306" i="5" s="1"/>
  <c r="G307" i="4"/>
  <c r="B306" i="5" s="1"/>
  <c r="H306" i="4"/>
  <c r="C305" i="5" s="1"/>
  <c r="G306" i="4"/>
  <c r="B305" i="5" s="1"/>
  <c r="H305" i="4"/>
  <c r="C304" i="5" s="1"/>
  <c r="G305" i="4"/>
  <c r="B304" i="5" s="1"/>
  <c r="H304" i="4"/>
  <c r="C303" i="5" s="1"/>
  <c r="G304" i="4"/>
  <c r="B303" i="5" s="1"/>
  <c r="H303" i="4"/>
  <c r="C302" i="5" s="1"/>
  <c r="G303" i="4"/>
  <c r="B302" i="5" s="1"/>
  <c r="H302" i="4"/>
  <c r="C301" i="5" s="1"/>
  <c r="G302" i="4"/>
  <c r="B301" i="5" s="1"/>
  <c r="H301" i="4"/>
  <c r="C300" i="5" s="1"/>
  <c r="G301" i="4"/>
  <c r="B300" i="5" s="1"/>
  <c r="H300" i="4"/>
  <c r="C299" i="5" s="1"/>
  <c r="G300" i="4"/>
  <c r="B299" i="5" s="1"/>
  <c r="H299" i="4"/>
  <c r="C298" i="5" s="1"/>
  <c r="G299" i="4"/>
  <c r="B298" i="5" s="1"/>
  <c r="H298" i="4"/>
  <c r="C297" i="5" s="1"/>
  <c r="G298" i="4"/>
  <c r="B297" i="5" s="1"/>
  <c r="H297" i="4"/>
  <c r="C296" i="5" s="1"/>
  <c r="G297" i="4"/>
  <c r="B296" i="5" s="1"/>
  <c r="H296" i="4"/>
  <c r="C295" i="5" s="1"/>
  <c r="G296" i="4"/>
  <c r="B295" i="5" s="1"/>
  <c r="H295" i="4"/>
  <c r="C294" i="5" s="1"/>
  <c r="G295" i="4"/>
  <c r="B294" i="5" s="1"/>
  <c r="H294" i="4"/>
  <c r="C293" i="5" s="1"/>
  <c r="G294" i="4"/>
  <c r="B293" i="5" s="1"/>
  <c r="H293" i="4"/>
  <c r="C292" i="5" s="1"/>
  <c r="G293" i="4"/>
  <c r="B292" i="5" s="1"/>
  <c r="H292" i="4"/>
  <c r="C291" i="5" s="1"/>
  <c r="G292" i="4"/>
  <c r="B291" i="5" s="1"/>
  <c r="H291" i="4"/>
  <c r="C290" i="5" s="1"/>
  <c r="G291" i="4"/>
  <c r="B290" i="5" s="1"/>
  <c r="H290" i="4"/>
  <c r="C289" i="5" s="1"/>
  <c r="G290" i="4"/>
  <c r="B289" i="5" s="1"/>
  <c r="H289" i="4"/>
  <c r="C288" i="5" s="1"/>
  <c r="G289" i="4"/>
  <c r="B288" i="5" s="1"/>
  <c r="H288" i="4"/>
  <c r="C287" i="5" s="1"/>
  <c r="G288" i="4"/>
  <c r="B287" i="5" s="1"/>
  <c r="H287" i="4"/>
  <c r="C286" i="5" s="1"/>
  <c r="G287" i="4"/>
  <c r="B286" i="5" s="1"/>
  <c r="H286" i="4"/>
  <c r="C285" i="5" s="1"/>
  <c r="G286" i="4"/>
  <c r="B285" i="5" s="1"/>
  <c r="H285" i="4"/>
  <c r="C284" i="5" s="1"/>
  <c r="G285" i="4"/>
  <c r="B284" i="5" s="1"/>
  <c r="H284" i="4"/>
  <c r="C283" i="5" s="1"/>
  <c r="G284" i="4"/>
  <c r="B283" i="5" s="1"/>
  <c r="H283" i="4"/>
  <c r="C282" i="5" s="1"/>
  <c r="G283" i="4"/>
  <c r="B282" i="5" s="1"/>
  <c r="H282" i="4"/>
  <c r="C281" i="5" s="1"/>
  <c r="G282" i="4"/>
  <c r="B281" i="5" s="1"/>
  <c r="H281" i="4"/>
  <c r="C280" i="5" s="1"/>
  <c r="G281" i="4"/>
  <c r="B280" i="5" s="1"/>
  <c r="H280" i="4"/>
  <c r="C279" i="5" s="1"/>
  <c r="G280" i="4"/>
  <c r="B279" i="5" s="1"/>
  <c r="H279" i="4"/>
  <c r="C278" i="5" s="1"/>
  <c r="G279" i="4"/>
  <c r="B278" i="5" s="1"/>
  <c r="H278" i="4"/>
  <c r="C277" i="5" s="1"/>
  <c r="G278" i="4"/>
  <c r="B277" i="5" s="1"/>
  <c r="H277" i="4"/>
  <c r="C276" i="5" s="1"/>
  <c r="G277" i="4"/>
  <c r="B276" i="5" s="1"/>
  <c r="H276" i="4"/>
  <c r="C275" i="5" s="1"/>
  <c r="G276" i="4"/>
  <c r="B275" i="5" s="1"/>
  <c r="H275" i="4"/>
  <c r="C274" i="5" s="1"/>
  <c r="G275" i="4"/>
  <c r="B274" i="5" s="1"/>
  <c r="H274" i="4"/>
  <c r="C273" i="5" s="1"/>
  <c r="G274" i="4"/>
  <c r="B273" i="5" s="1"/>
  <c r="H273" i="4"/>
  <c r="C272" i="5" s="1"/>
  <c r="G273" i="4"/>
  <c r="B272" i="5" s="1"/>
  <c r="H272" i="4"/>
  <c r="C271" i="5" s="1"/>
  <c r="G272" i="4"/>
  <c r="B271" i="5" s="1"/>
  <c r="H271" i="4"/>
  <c r="C270" i="5" s="1"/>
  <c r="G271" i="4"/>
  <c r="B270" i="5" s="1"/>
  <c r="H270" i="4"/>
  <c r="C269" i="5" s="1"/>
  <c r="G270" i="4"/>
  <c r="B269" i="5" s="1"/>
  <c r="H269" i="4"/>
  <c r="C268" i="5" s="1"/>
  <c r="G269" i="4"/>
  <c r="B268" i="5" s="1"/>
  <c r="H268" i="4"/>
  <c r="C267" i="5" s="1"/>
  <c r="G268" i="4"/>
  <c r="B267" i="5" s="1"/>
  <c r="H267" i="4"/>
  <c r="C266" i="5" s="1"/>
  <c r="G267" i="4"/>
  <c r="B266" i="5" s="1"/>
  <c r="H266" i="4"/>
  <c r="C265" i="5" s="1"/>
  <c r="G266" i="4"/>
  <c r="B265" i="5" s="1"/>
  <c r="H265" i="4"/>
  <c r="C264" i="5" s="1"/>
  <c r="G265" i="4"/>
  <c r="B264" i="5" s="1"/>
  <c r="H264" i="4"/>
  <c r="C263" i="5" s="1"/>
  <c r="G264" i="4"/>
  <c r="B263" i="5" s="1"/>
  <c r="H263" i="4"/>
  <c r="C262" i="5" s="1"/>
  <c r="G263" i="4"/>
  <c r="B262" i="5" s="1"/>
  <c r="H262" i="4"/>
  <c r="C261" i="5" s="1"/>
  <c r="G262" i="4"/>
  <c r="B261" i="5" s="1"/>
  <c r="H261" i="4"/>
  <c r="C260" i="5" s="1"/>
  <c r="G261" i="4"/>
  <c r="B260" i="5" s="1"/>
  <c r="H260" i="4"/>
  <c r="C259" i="5" s="1"/>
  <c r="G260" i="4"/>
  <c r="B259" i="5" s="1"/>
  <c r="H259" i="4"/>
  <c r="C258" i="5" s="1"/>
  <c r="G259" i="4"/>
  <c r="B258" i="5" s="1"/>
  <c r="H258" i="4"/>
  <c r="C257" i="5" s="1"/>
  <c r="G258" i="4"/>
  <c r="B257" i="5" s="1"/>
  <c r="H257" i="4"/>
  <c r="C256" i="5" s="1"/>
  <c r="G257" i="4"/>
  <c r="B256" i="5" s="1"/>
  <c r="H256" i="4"/>
  <c r="C255" i="5" s="1"/>
  <c r="G256" i="4"/>
  <c r="B255" i="5" s="1"/>
  <c r="H255" i="4"/>
  <c r="C254" i="5" s="1"/>
  <c r="G255" i="4"/>
  <c r="B254" i="5" s="1"/>
  <c r="H254" i="4"/>
  <c r="C253" i="5" s="1"/>
  <c r="G254" i="4"/>
  <c r="B253" i="5" s="1"/>
  <c r="H253" i="4"/>
  <c r="C252" i="5" s="1"/>
  <c r="G253" i="4"/>
  <c r="B252" i="5" s="1"/>
  <c r="H252" i="4"/>
  <c r="C251" i="5" s="1"/>
  <c r="G252" i="4"/>
  <c r="B251" i="5" s="1"/>
  <c r="H251" i="4"/>
  <c r="C250" i="5" s="1"/>
  <c r="G251" i="4"/>
  <c r="B250" i="5" s="1"/>
  <c r="H250" i="4"/>
  <c r="C249" i="5" s="1"/>
  <c r="G250" i="4"/>
  <c r="B249" i="5" s="1"/>
  <c r="H249" i="4"/>
  <c r="C248" i="5" s="1"/>
  <c r="G249" i="4"/>
  <c r="B248" i="5" s="1"/>
  <c r="H248" i="4"/>
  <c r="C247" i="5" s="1"/>
  <c r="G248" i="4"/>
  <c r="B247" i="5" s="1"/>
  <c r="H247" i="4"/>
  <c r="C246" i="5" s="1"/>
  <c r="G247" i="4"/>
  <c r="B246" i="5" s="1"/>
  <c r="H246" i="4"/>
  <c r="C245" i="5" s="1"/>
  <c r="G246" i="4"/>
  <c r="B245" i="5" s="1"/>
  <c r="H245" i="4"/>
  <c r="C244" i="5" s="1"/>
  <c r="G245" i="4"/>
  <c r="B244" i="5" s="1"/>
  <c r="H244" i="4"/>
  <c r="C243" i="5" s="1"/>
  <c r="G244" i="4"/>
  <c r="B243" i="5" s="1"/>
  <c r="H243" i="4"/>
  <c r="C242" i="5" s="1"/>
  <c r="G243" i="4"/>
  <c r="B242" i="5" s="1"/>
  <c r="H242" i="4"/>
  <c r="C241" i="5" s="1"/>
  <c r="G242" i="4"/>
  <c r="B241" i="5" s="1"/>
  <c r="H241" i="4"/>
  <c r="C240" i="5" s="1"/>
  <c r="G241" i="4"/>
  <c r="B240" i="5" s="1"/>
  <c r="H240" i="4"/>
  <c r="C239" i="5" s="1"/>
  <c r="G240" i="4"/>
  <c r="B239" i="5" s="1"/>
  <c r="H239" i="4"/>
  <c r="C238" i="5" s="1"/>
  <c r="G239" i="4"/>
  <c r="B238" i="5" s="1"/>
  <c r="H238" i="4"/>
  <c r="C237" i="5" s="1"/>
  <c r="G238" i="4"/>
  <c r="B237" i="5" s="1"/>
  <c r="H237" i="4"/>
  <c r="C236" i="5" s="1"/>
  <c r="G237" i="4"/>
  <c r="B236" i="5" s="1"/>
  <c r="H236" i="4"/>
  <c r="C235" i="5" s="1"/>
  <c r="G236" i="4"/>
  <c r="B235" i="5" s="1"/>
  <c r="H235" i="4"/>
  <c r="C234" i="5" s="1"/>
  <c r="G235" i="4"/>
  <c r="B234" i="5" s="1"/>
  <c r="H234" i="4"/>
  <c r="C233" i="5" s="1"/>
  <c r="G234" i="4"/>
  <c r="B233" i="5" s="1"/>
  <c r="H233" i="4"/>
  <c r="C232" i="5" s="1"/>
  <c r="G233" i="4"/>
  <c r="B232" i="5" s="1"/>
  <c r="H232" i="4"/>
  <c r="C231" i="5" s="1"/>
  <c r="G232" i="4"/>
  <c r="B231" i="5" s="1"/>
  <c r="H231" i="4"/>
  <c r="C230" i="5" s="1"/>
  <c r="G231" i="4"/>
  <c r="B230" i="5" s="1"/>
  <c r="H230" i="4"/>
  <c r="C229" i="5" s="1"/>
  <c r="G230" i="4"/>
  <c r="B229" i="5" s="1"/>
  <c r="H229" i="4"/>
  <c r="C228" i="5" s="1"/>
  <c r="G229" i="4"/>
  <c r="B228" i="5" s="1"/>
  <c r="H228" i="4"/>
  <c r="C227" i="5" s="1"/>
  <c r="G228" i="4"/>
  <c r="B227" i="5" s="1"/>
  <c r="H227" i="4"/>
  <c r="C226" i="5" s="1"/>
  <c r="G227" i="4"/>
  <c r="B226" i="5" s="1"/>
  <c r="H226" i="4"/>
  <c r="C225" i="5" s="1"/>
  <c r="G226" i="4"/>
  <c r="B225" i="5" s="1"/>
  <c r="H225" i="4"/>
  <c r="C224" i="5" s="1"/>
  <c r="G225" i="4"/>
  <c r="B224" i="5" s="1"/>
  <c r="H224" i="4"/>
  <c r="C223" i="5" s="1"/>
  <c r="G224" i="4"/>
  <c r="B223" i="5" s="1"/>
  <c r="H223" i="4"/>
  <c r="C222" i="5" s="1"/>
  <c r="G223" i="4"/>
  <c r="B222" i="5" s="1"/>
  <c r="H222" i="4"/>
  <c r="C221" i="5" s="1"/>
  <c r="G222" i="4"/>
  <c r="B221" i="5" s="1"/>
  <c r="H221" i="4"/>
  <c r="C220" i="5" s="1"/>
  <c r="G221" i="4"/>
  <c r="B220" i="5" s="1"/>
  <c r="H220" i="4"/>
  <c r="C219" i="5" s="1"/>
  <c r="G220" i="4"/>
  <c r="B219" i="5" s="1"/>
  <c r="H219" i="4"/>
  <c r="C218" i="5" s="1"/>
  <c r="G219" i="4"/>
  <c r="B218" i="5" s="1"/>
  <c r="H218" i="4"/>
  <c r="C217" i="5" s="1"/>
  <c r="G218" i="4"/>
  <c r="B217" i="5" s="1"/>
  <c r="H217" i="4"/>
  <c r="C216" i="5" s="1"/>
  <c r="G217" i="4"/>
  <c r="B216" i="5" s="1"/>
  <c r="H216" i="4"/>
  <c r="C215" i="5" s="1"/>
  <c r="G216" i="4"/>
  <c r="B215" i="5" s="1"/>
  <c r="H215" i="4"/>
  <c r="C214" i="5" s="1"/>
  <c r="G215" i="4"/>
  <c r="B214" i="5" s="1"/>
  <c r="H214" i="4"/>
  <c r="C213" i="5" s="1"/>
  <c r="G214" i="4"/>
  <c r="B213" i="5" s="1"/>
  <c r="H213" i="4"/>
  <c r="C212" i="5" s="1"/>
  <c r="G213" i="4"/>
  <c r="B212" i="5" s="1"/>
  <c r="H212" i="4"/>
  <c r="C211" i="5" s="1"/>
  <c r="G212" i="4"/>
  <c r="B211" i="5" s="1"/>
  <c r="H211" i="4"/>
  <c r="C210" i="5" s="1"/>
  <c r="G211" i="4"/>
  <c r="B210" i="5" s="1"/>
  <c r="H210" i="4"/>
  <c r="C209" i="5" s="1"/>
  <c r="G210" i="4"/>
  <c r="B209" i="5" s="1"/>
  <c r="H209" i="4"/>
  <c r="C208" i="5" s="1"/>
  <c r="G209" i="4"/>
  <c r="B208" i="5" s="1"/>
  <c r="H208" i="4"/>
  <c r="C207" i="5" s="1"/>
  <c r="G208" i="4"/>
  <c r="B207" i="5" s="1"/>
  <c r="H207" i="4"/>
  <c r="C206" i="5" s="1"/>
  <c r="G207" i="4"/>
  <c r="B206" i="5" s="1"/>
  <c r="H206" i="4"/>
  <c r="C205" i="5" s="1"/>
  <c r="G206" i="4"/>
  <c r="B205" i="5" s="1"/>
  <c r="H205" i="4"/>
  <c r="C204" i="5" s="1"/>
  <c r="G205" i="4"/>
  <c r="B204" i="5" s="1"/>
  <c r="H204" i="4"/>
  <c r="C203" i="5" s="1"/>
  <c r="G204" i="4"/>
  <c r="B203" i="5" s="1"/>
  <c r="H203" i="4"/>
  <c r="C202" i="5" s="1"/>
  <c r="G203" i="4"/>
  <c r="B202" i="5" s="1"/>
  <c r="H202" i="4"/>
  <c r="C201" i="5" s="1"/>
  <c r="G202" i="4"/>
  <c r="B201" i="5" s="1"/>
  <c r="H201" i="4"/>
  <c r="C200" i="5" s="1"/>
  <c r="G201" i="4"/>
  <c r="B200" i="5" s="1"/>
  <c r="H200" i="4"/>
  <c r="C199" i="5" s="1"/>
  <c r="G200" i="4"/>
  <c r="B199" i="5" s="1"/>
  <c r="H199" i="4"/>
  <c r="C198" i="5" s="1"/>
  <c r="G199" i="4"/>
  <c r="B198" i="5" s="1"/>
  <c r="H198" i="4"/>
  <c r="C197" i="5" s="1"/>
  <c r="G198" i="4"/>
  <c r="B197" i="5" s="1"/>
  <c r="H197" i="4"/>
  <c r="C196" i="5" s="1"/>
  <c r="G197" i="4"/>
  <c r="B196" i="5" s="1"/>
  <c r="H196" i="4"/>
  <c r="C195" i="5" s="1"/>
  <c r="G196" i="4"/>
  <c r="B195" i="5" s="1"/>
  <c r="H195" i="4"/>
  <c r="C194" i="5" s="1"/>
  <c r="G195" i="4"/>
  <c r="B194" i="5" s="1"/>
  <c r="H194" i="4"/>
  <c r="C193" i="5" s="1"/>
  <c r="G194" i="4"/>
  <c r="B193" i="5" s="1"/>
  <c r="H193" i="4"/>
  <c r="C192" i="5" s="1"/>
  <c r="G193" i="4"/>
  <c r="B192" i="5" s="1"/>
  <c r="H192" i="4"/>
  <c r="C191" i="5" s="1"/>
  <c r="G192" i="4"/>
  <c r="B191" i="5" s="1"/>
  <c r="H191" i="4"/>
  <c r="C190" i="5" s="1"/>
  <c r="G191" i="4"/>
  <c r="B190" i="5" s="1"/>
  <c r="H190" i="4"/>
  <c r="C189" i="5" s="1"/>
  <c r="G190" i="4"/>
  <c r="B189" i="5" s="1"/>
  <c r="H189" i="4"/>
  <c r="C188" i="5" s="1"/>
  <c r="G189" i="4"/>
  <c r="B188" i="5" s="1"/>
  <c r="H188" i="4"/>
  <c r="C187" i="5" s="1"/>
  <c r="G188" i="4"/>
  <c r="B187" i="5" s="1"/>
  <c r="H187" i="4"/>
  <c r="C186" i="5" s="1"/>
  <c r="G187" i="4"/>
  <c r="B186" i="5" s="1"/>
  <c r="H186" i="4"/>
  <c r="C185" i="5" s="1"/>
  <c r="G186" i="4"/>
  <c r="B185" i="5" s="1"/>
  <c r="H185" i="4"/>
  <c r="C184" i="5" s="1"/>
  <c r="G185" i="4"/>
  <c r="B184" i="5" s="1"/>
  <c r="H184" i="4"/>
  <c r="C183" i="5" s="1"/>
  <c r="G184" i="4"/>
  <c r="B183" i="5" s="1"/>
  <c r="H183" i="4"/>
  <c r="C182" i="5" s="1"/>
  <c r="G183" i="4"/>
  <c r="B182" i="5" s="1"/>
  <c r="H182" i="4"/>
  <c r="C181" i="5" s="1"/>
  <c r="G182" i="4"/>
  <c r="B181" i="5" s="1"/>
  <c r="H181" i="4"/>
  <c r="C180" i="5" s="1"/>
  <c r="G181" i="4"/>
  <c r="B180" i="5" s="1"/>
  <c r="H180" i="4"/>
  <c r="C179" i="5" s="1"/>
  <c r="G180" i="4"/>
  <c r="B179" i="5" s="1"/>
  <c r="H179" i="4"/>
  <c r="C178" i="5" s="1"/>
  <c r="G179" i="4"/>
  <c r="B178" i="5" s="1"/>
  <c r="H178" i="4"/>
  <c r="C177" i="5" s="1"/>
  <c r="G178" i="4"/>
  <c r="B177" i="5" s="1"/>
  <c r="H177" i="4"/>
  <c r="C176" i="5" s="1"/>
  <c r="G177" i="4"/>
  <c r="B176" i="5" s="1"/>
  <c r="H176" i="4"/>
  <c r="C175" i="5" s="1"/>
  <c r="G176" i="4"/>
  <c r="B175" i="5" s="1"/>
  <c r="H175" i="4"/>
  <c r="C174" i="5" s="1"/>
  <c r="G175" i="4"/>
  <c r="B174" i="5" s="1"/>
  <c r="H174" i="4"/>
  <c r="C173" i="5" s="1"/>
  <c r="G174" i="4"/>
  <c r="B173" i="5" s="1"/>
  <c r="H173" i="4"/>
  <c r="C172" i="5" s="1"/>
  <c r="G173" i="4"/>
  <c r="B172" i="5" s="1"/>
  <c r="H172" i="4"/>
  <c r="C171" i="5" s="1"/>
  <c r="G172" i="4"/>
  <c r="B171" i="5" s="1"/>
  <c r="H171" i="4"/>
  <c r="C170" i="5" s="1"/>
  <c r="G171" i="4"/>
  <c r="B170" i="5" s="1"/>
  <c r="H170" i="4"/>
  <c r="C169" i="5" s="1"/>
  <c r="G170" i="4"/>
  <c r="B169" i="5" s="1"/>
  <c r="H169" i="4"/>
  <c r="C168" i="5" s="1"/>
  <c r="G169" i="4"/>
  <c r="B168" i="5" s="1"/>
  <c r="H168" i="4"/>
  <c r="C167" i="5" s="1"/>
  <c r="G168" i="4"/>
  <c r="B167" i="5" s="1"/>
  <c r="H167" i="4"/>
  <c r="C166" i="5" s="1"/>
  <c r="G167" i="4"/>
  <c r="B166" i="5" s="1"/>
  <c r="H166" i="4"/>
  <c r="C165" i="5" s="1"/>
  <c r="G166" i="4"/>
  <c r="B165" i="5" s="1"/>
  <c r="H165" i="4"/>
  <c r="C164" i="5" s="1"/>
  <c r="G165" i="4"/>
  <c r="B164" i="5" s="1"/>
  <c r="H164" i="4"/>
  <c r="C163" i="5" s="1"/>
  <c r="G164" i="4"/>
  <c r="B163" i="5" s="1"/>
  <c r="H163" i="4"/>
  <c r="C162" i="5" s="1"/>
  <c r="G163" i="4"/>
  <c r="B162" i="5" s="1"/>
  <c r="H162" i="4"/>
  <c r="C161" i="5" s="1"/>
  <c r="G162" i="4"/>
  <c r="B161" i="5" s="1"/>
  <c r="H161" i="4"/>
  <c r="C160" i="5" s="1"/>
  <c r="G161" i="4"/>
  <c r="B160" i="5" s="1"/>
  <c r="H160" i="4"/>
  <c r="C159" i="5" s="1"/>
  <c r="G160" i="4"/>
  <c r="B159" i="5" s="1"/>
  <c r="H159" i="4"/>
  <c r="C158" i="5" s="1"/>
  <c r="G159" i="4"/>
  <c r="B158" i="5" s="1"/>
  <c r="H158" i="4"/>
  <c r="C157" i="5" s="1"/>
  <c r="G158" i="4"/>
  <c r="B157" i="5" s="1"/>
  <c r="H157" i="4"/>
  <c r="C156" i="5" s="1"/>
  <c r="G157" i="4"/>
  <c r="B156" i="5" s="1"/>
  <c r="H156" i="4"/>
  <c r="C155" i="5" s="1"/>
  <c r="G156" i="4"/>
  <c r="B155" i="5" s="1"/>
  <c r="H155" i="4"/>
  <c r="C154" i="5" s="1"/>
  <c r="G155" i="4"/>
  <c r="B154" i="5" s="1"/>
  <c r="H154" i="4"/>
  <c r="C153" i="5" s="1"/>
  <c r="G154" i="4"/>
  <c r="B153" i="5" s="1"/>
  <c r="H153" i="4"/>
  <c r="C152" i="5" s="1"/>
  <c r="G153" i="4"/>
  <c r="B152" i="5" s="1"/>
  <c r="H152" i="4"/>
  <c r="C151" i="5" s="1"/>
  <c r="G152" i="4"/>
  <c r="B151" i="5" s="1"/>
  <c r="H151" i="4"/>
  <c r="C150" i="5" s="1"/>
  <c r="G151" i="4"/>
  <c r="B150" i="5" s="1"/>
  <c r="H150" i="4"/>
  <c r="C149" i="5" s="1"/>
  <c r="G150" i="4"/>
  <c r="B149" i="5" s="1"/>
  <c r="H149" i="4"/>
  <c r="C148" i="5" s="1"/>
  <c r="G149" i="4"/>
  <c r="B148" i="5" s="1"/>
  <c r="H148" i="4"/>
  <c r="C147" i="5" s="1"/>
  <c r="G148" i="4"/>
  <c r="B147" i="5" s="1"/>
  <c r="H147" i="4"/>
  <c r="C146" i="5" s="1"/>
  <c r="G147" i="4"/>
  <c r="B146" i="5" s="1"/>
  <c r="H146" i="4"/>
  <c r="C145" i="5" s="1"/>
  <c r="G146" i="4"/>
  <c r="B145" i="5" s="1"/>
  <c r="H145" i="4"/>
  <c r="C144" i="5" s="1"/>
  <c r="G145" i="4"/>
  <c r="B144" i="5" s="1"/>
  <c r="H144" i="4"/>
  <c r="C143" i="5" s="1"/>
  <c r="G144" i="4"/>
  <c r="B143" i="5" s="1"/>
  <c r="H143" i="4"/>
  <c r="C142" i="5" s="1"/>
  <c r="G143" i="4"/>
  <c r="B142" i="5" s="1"/>
  <c r="H142" i="4"/>
  <c r="C141" i="5" s="1"/>
  <c r="G142" i="4"/>
  <c r="B141" i="5" s="1"/>
  <c r="H141" i="4"/>
  <c r="C140" i="5" s="1"/>
  <c r="G141" i="4"/>
  <c r="B140" i="5" s="1"/>
  <c r="H140" i="4"/>
  <c r="C139" i="5" s="1"/>
  <c r="G140" i="4"/>
  <c r="B139" i="5" s="1"/>
  <c r="H139" i="4"/>
  <c r="C138" i="5" s="1"/>
  <c r="G139" i="4"/>
  <c r="B138" i="5" s="1"/>
  <c r="H138" i="4"/>
  <c r="C137" i="5" s="1"/>
  <c r="G138" i="4"/>
  <c r="B137" i="5" s="1"/>
  <c r="H137" i="4"/>
  <c r="C136" i="5" s="1"/>
  <c r="G137" i="4"/>
  <c r="B136" i="5" s="1"/>
  <c r="H136" i="4"/>
  <c r="C135" i="5" s="1"/>
  <c r="G136" i="4"/>
  <c r="B135" i="5" s="1"/>
  <c r="H135" i="4"/>
  <c r="C134" i="5" s="1"/>
  <c r="G135" i="4"/>
  <c r="B134" i="5" s="1"/>
  <c r="H134" i="4"/>
  <c r="C133" i="5" s="1"/>
  <c r="G134" i="4"/>
  <c r="B133" i="5" s="1"/>
  <c r="H133" i="4"/>
  <c r="C132" i="5" s="1"/>
  <c r="G133" i="4"/>
  <c r="B132" i="5" s="1"/>
  <c r="H132" i="4"/>
  <c r="C131" i="5" s="1"/>
  <c r="G132" i="4"/>
  <c r="B131" i="5" s="1"/>
  <c r="H131" i="4"/>
  <c r="C130" i="5" s="1"/>
  <c r="G131" i="4"/>
  <c r="B130" i="5" s="1"/>
  <c r="H130" i="4"/>
  <c r="C129" i="5" s="1"/>
  <c r="G130" i="4"/>
  <c r="B129" i="5" s="1"/>
  <c r="H129" i="4"/>
  <c r="C128" i="5" s="1"/>
  <c r="G129" i="4"/>
  <c r="B128" i="5" s="1"/>
  <c r="H128" i="4"/>
  <c r="C127" i="5" s="1"/>
  <c r="G128" i="4"/>
  <c r="B127" i="5" s="1"/>
  <c r="H127" i="4"/>
  <c r="C126" i="5" s="1"/>
  <c r="G127" i="4"/>
  <c r="B126" i="5" s="1"/>
  <c r="H126" i="4"/>
  <c r="C125" i="5" s="1"/>
  <c r="G126" i="4"/>
  <c r="B125" i="5" s="1"/>
  <c r="H125" i="4"/>
  <c r="C124" i="5" s="1"/>
  <c r="G125" i="4"/>
  <c r="B124" i="5" s="1"/>
  <c r="H124" i="4"/>
  <c r="C123" i="5" s="1"/>
  <c r="G124" i="4"/>
  <c r="B123" i="5" s="1"/>
  <c r="H123" i="4"/>
  <c r="C122" i="5" s="1"/>
  <c r="G123" i="4"/>
  <c r="B122" i="5" s="1"/>
  <c r="H122" i="4"/>
  <c r="C121" i="5" s="1"/>
  <c r="G122" i="4"/>
  <c r="B121" i="5" s="1"/>
  <c r="H121" i="4"/>
  <c r="C120" i="5" s="1"/>
  <c r="G121" i="4"/>
  <c r="B120" i="5" s="1"/>
  <c r="H120" i="4"/>
  <c r="C119" i="5" s="1"/>
  <c r="G120" i="4"/>
  <c r="B119" i="5" s="1"/>
  <c r="H119" i="4"/>
  <c r="C118" i="5" s="1"/>
  <c r="G119" i="4"/>
  <c r="B118" i="5" s="1"/>
  <c r="H118" i="4"/>
  <c r="C117" i="5" s="1"/>
  <c r="G118" i="4"/>
  <c r="B117" i="5" s="1"/>
  <c r="H117" i="4"/>
  <c r="C116" i="5" s="1"/>
  <c r="G117" i="4"/>
  <c r="B116" i="5" s="1"/>
  <c r="H116" i="4"/>
  <c r="C115" i="5" s="1"/>
  <c r="G116" i="4"/>
  <c r="B115" i="5" s="1"/>
  <c r="H115" i="4"/>
  <c r="C114" i="5" s="1"/>
  <c r="G115" i="4"/>
  <c r="B114" i="5" s="1"/>
  <c r="H114" i="4"/>
  <c r="C113" i="5" s="1"/>
  <c r="G114" i="4"/>
  <c r="B113" i="5" s="1"/>
  <c r="H113" i="4"/>
  <c r="C112" i="5" s="1"/>
  <c r="G113" i="4"/>
  <c r="B112" i="5" s="1"/>
  <c r="H112" i="4"/>
  <c r="C111" i="5" s="1"/>
  <c r="G112" i="4"/>
  <c r="B111" i="5" s="1"/>
  <c r="H111" i="4"/>
  <c r="C110" i="5" s="1"/>
  <c r="G111" i="4"/>
  <c r="B110" i="5" s="1"/>
  <c r="H110" i="4"/>
  <c r="C109" i="5" s="1"/>
  <c r="G110" i="4"/>
  <c r="B109" i="5" s="1"/>
  <c r="H109" i="4"/>
  <c r="C108" i="5" s="1"/>
  <c r="G109" i="4"/>
  <c r="B108" i="5" s="1"/>
  <c r="H108" i="4"/>
  <c r="C107" i="5" s="1"/>
  <c r="G108" i="4"/>
  <c r="B107" i="5" s="1"/>
  <c r="H107" i="4"/>
  <c r="C106" i="5" s="1"/>
  <c r="G107" i="4"/>
  <c r="B106" i="5" s="1"/>
  <c r="H106" i="4"/>
  <c r="C105" i="5" s="1"/>
  <c r="G106" i="4"/>
  <c r="B105" i="5" s="1"/>
  <c r="H105" i="4"/>
  <c r="C104" i="5" s="1"/>
  <c r="G105" i="4"/>
  <c r="B104" i="5" s="1"/>
  <c r="H104" i="4"/>
  <c r="C103" i="5" s="1"/>
  <c r="G104" i="4"/>
  <c r="B103" i="5" s="1"/>
  <c r="H103" i="4"/>
  <c r="C102" i="5" s="1"/>
  <c r="G103" i="4"/>
  <c r="B102" i="5" s="1"/>
  <c r="H102" i="4"/>
  <c r="C101" i="5" s="1"/>
  <c r="G102" i="4"/>
  <c r="B101" i="5" s="1"/>
  <c r="H101" i="4"/>
  <c r="C100" i="5" s="1"/>
  <c r="G101" i="4"/>
  <c r="B100" i="5" s="1"/>
  <c r="H100" i="4"/>
  <c r="C99" i="5" s="1"/>
  <c r="G100" i="4"/>
  <c r="B99" i="5" s="1"/>
  <c r="H99" i="4"/>
  <c r="C98" i="5" s="1"/>
  <c r="G99" i="4"/>
  <c r="B98" i="5" s="1"/>
  <c r="H98" i="4"/>
  <c r="C97" i="5" s="1"/>
  <c r="G98" i="4"/>
  <c r="B97" i="5" s="1"/>
  <c r="H97" i="4"/>
  <c r="C96" i="5" s="1"/>
  <c r="G97" i="4"/>
  <c r="B96" i="5" s="1"/>
  <c r="H96" i="4"/>
  <c r="C95" i="5" s="1"/>
  <c r="G96" i="4"/>
  <c r="B95" i="5" s="1"/>
  <c r="H95" i="4"/>
  <c r="C94" i="5" s="1"/>
  <c r="G95" i="4"/>
  <c r="B94" i="5" s="1"/>
  <c r="H94" i="4"/>
  <c r="C93" i="5" s="1"/>
  <c r="G94" i="4"/>
  <c r="B93" i="5" s="1"/>
  <c r="H93" i="4"/>
  <c r="C92" i="5" s="1"/>
  <c r="G93" i="4"/>
  <c r="B92" i="5" s="1"/>
  <c r="H92" i="4"/>
  <c r="C91" i="5" s="1"/>
  <c r="G92" i="4"/>
  <c r="B91" i="5" s="1"/>
  <c r="H91" i="4"/>
  <c r="C90" i="5" s="1"/>
  <c r="G91" i="4"/>
  <c r="B90" i="5" s="1"/>
  <c r="H90" i="4"/>
  <c r="C89" i="5" s="1"/>
  <c r="G90" i="4"/>
  <c r="B89" i="5" s="1"/>
  <c r="H89" i="4"/>
  <c r="C88" i="5" s="1"/>
  <c r="G89" i="4"/>
  <c r="B88" i="5" s="1"/>
  <c r="H88" i="4"/>
  <c r="C87" i="5" s="1"/>
  <c r="G88" i="4"/>
  <c r="B87" i="5" s="1"/>
  <c r="H87" i="4"/>
  <c r="C86" i="5" s="1"/>
  <c r="G87" i="4"/>
  <c r="B86" i="5" s="1"/>
  <c r="H86" i="4"/>
  <c r="C85" i="5" s="1"/>
  <c r="G86" i="4"/>
  <c r="B85" i="5" s="1"/>
  <c r="H85" i="4"/>
  <c r="C84" i="5" s="1"/>
  <c r="G85" i="4"/>
  <c r="B84" i="5" s="1"/>
  <c r="H84" i="4"/>
  <c r="C83" i="5" s="1"/>
  <c r="G84" i="4"/>
  <c r="B83" i="5" s="1"/>
  <c r="H83" i="4"/>
  <c r="C82" i="5" s="1"/>
  <c r="G83" i="4"/>
  <c r="B82" i="5" s="1"/>
  <c r="H82" i="4"/>
  <c r="C81" i="5" s="1"/>
  <c r="G82" i="4"/>
  <c r="B81" i="5" s="1"/>
  <c r="H81" i="4"/>
  <c r="C80" i="5" s="1"/>
  <c r="G81" i="4"/>
  <c r="B80" i="5" s="1"/>
  <c r="H80" i="4"/>
  <c r="C79" i="5" s="1"/>
  <c r="G80" i="4"/>
  <c r="B79" i="5" s="1"/>
  <c r="H79" i="4"/>
  <c r="C78" i="5" s="1"/>
  <c r="G79" i="4"/>
  <c r="B78" i="5" s="1"/>
  <c r="H78" i="4"/>
  <c r="C77" i="5" s="1"/>
  <c r="G78" i="4"/>
  <c r="B77" i="5" s="1"/>
  <c r="H77" i="4"/>
  <c r="C76" i="5" s="1"/>
  <c r="G77" i="4"/>
  <c r="B76" i="5" s="1"/>
  <c r="H76" i="4"/>
  <c r="C75" i="5" s="1"/>
  <c r="G76" i="4"/>
  <c r="B75" i="5" s="1"/>
  <c r="H75" i="4"/>
  <c r="C74" i="5" s="1"/>
  <c r="G75" i="4"/>
  <c r="B74" i="5" s="1"/>
  <c r="H74" i="4"/>
  <c r="C73" i="5" s="1"/>
  <c r="G74" i="4"/>
  <c r="B73" i="5" s="1"/>
  <c r="H73" i="4"/>
  <c r="C72" i="5" s="1"/>
  <c r="G73" i="4"/>
  <c r="B72" i="5" s="1"/>
  <c r="H72" i="4"/>
  <c r="C71" i="5" s="1"/>
  <c r="G72" i="4"/>
  <c r="B71" i="5" s="1"/>
  <c r="H71" i="4"/>
  <c r="C70" i="5" s="1"/>
  <c r="G71" i="4"/>
  <c r="B70" i="5" s="1"/>
  <c r="H70" i="4"/>
  <c r="C69" i="5" s="1"/>
  <c r="G70" i="4"/>
  <c r="B69" i="5" s="1"/>
  <c r="H69" i="4"/>
  <c r="C68" i="5" s="1"/>
  <c r="G69" i="4"/>
  <c r="B68" i="5" s="1"/>
  <c r="H68" i="4"/>
  <c r="C67" i="5" s="1"/>
  <c r="G68" i="4"/>
  <c r="B67" i="5" s="1"/>
  <c r="H67" i="4"/>
  <c r="C66" i="5" s="1"/>
  <c r="G67" i="4"/>
  <c r="B66" i="5" s="1"/>
  <c r="H66" i="4"/>
  <c r="C65" i="5" s="1"/>
  <c r="G66" i="4"/>
  <c r="B65" i="5" s="1"/>
  <c r="H65" i="4"/>
  <c r="C64" i="5" s="1"/>
  <c r="G65" i="4"/>
  <c r="B64" i="5" s="1"/>
  <c r="H64" i="4"/>
  <c r="C63" i="5" s="1"/>
  <c r="G64" i="4"/>
  <c r="B63" i="5" s="1"/>
  <c r="H63" i="4"/>
  <c r="C62" i="5" s="1"/>
  <c r="G63" i="4"/>
  <c r="B62" i="5" s="1"/>
  <c r="H62" i="4"/>
  <c r="C61" i="5" s="1"/>
  <c r="G62" i="4"/>
  <c r="B61" i="5" s="1"/>
  <c r="H61" i="4"/>
  <c r="C60" i="5" s="1"/>
  <c r="G61" i="4"/>
  <c r="B60" i="5" s="1"/>
  <c r="H60" i="4"/>
  <c r="C59" i="5" s="1"/>
  <c r="G60" i="4"/>
  <c r="B59" i="5" s="1"/>
  <c r="H59" i="4"/>
  <c r="C58" i="5" s="1"/>
  <c r="G59" i="4"/>
  <c r="B58" i="5" s="1"/>
  <c r="H58" i="4"/>
  <c r="C57" i="5" s="1"/>
  <c r="G58" i="4"/>
  <c r="B57" i="5" s="1"/>
  <c r="H57" i="4"/>
  <c r="C56" i="5" s="1"/>
  <c r="G57" i="4"/>
  <c r="B56" i="5" s="1"/>
  <c r="H56" i="4"/>
  <c r="C55" i="5" s="1"/>
  <c r="G56" i="4"/>
  <c r="B55" i="5" s="1"/>
  <c r="H55" i="4"/>
  <c r="C54" i="5" s="1"/>
  <c r="G55" i="4"/>
  <c r="B54" i="5" s="1"/>
  <c r="H54" i="4"/>
  <c r="C53" i="5" s="1"/>
  <c r="G54" i="4"/>
  <c r="B53" i="5" s="1"/>
  <c r="H53" i="4"/>
  <c r="C52" i="5" s="1"/>
  <c r="G53" i="4"/>
  <c r="B52" i="5" s="1"/>
  <c r="H52" i="4"/>
  <c r="C51" i="5" s="1"/>
  <c r="G52" i="4"/>
  <c r="B51" i="5" s="1"/>
  <c r="H51" i="4"/>
  <c r="C50" i="5" s="1"/>
  <c r="G51" i="4"/>
  <c r="B50" i="5" s="1"/>
  <c r="H50" i="4"/>
  <c r="C49" i="5" s="1"/>
  <c r="G50" i="4"/>
  <c r="B49" i="5" s="1"/>
  <c r="H49" i="4"/>
  <c r="C48" i="5" s="1"/>
  <c r="G49" i="4"/>
  <c r="B48" i="5" s="1"/>
  <c r="H48" i="4"/>
  <c r="C47" i="5" s="1"/>
  <c r="G48" i="4"/>
  <c r="B47" i="5" s="1"/>
  <c r="H47" i="4"/>
  <c r="C46" i="5" s="1"/>
  <c r="G47" i="4"/>
  <c r="B46" i="5" s="1"/>
  <c r="H46" i="4"/>
  <c r="C45" i="5" s="1"/>
  <c r="G46" i="4"/>
  <c r="B45" i="5" s="1"/>
  <c r="H45" i="4"/>
  <c r="C44" i="5" s="1"/>
  <c r="G45" i="4"/>
  <c r="B44" i="5" s="1"/>
  <c r="H44" i="4"/>
  <c r="C43" i="5" s="1"/>
  <c r="G44" i="4"/>
  <c r="B43" i="5" s="1"/>
  <c r="H43" i="4"/>
  <c r="C42" i="5" s="1"/>
  <c r="G43" i="4"/>
  <c r="B42" i="5" s="1"/>
  <c r="H42" i="4"/>
  <c r="C41" i="5" s="1"/>
  <c r="G42" i="4"/>
  <c r="B41" i="5" s="1"/>
  <c r="H41" i="4"/>
  <c r="C40" i="5" s="1"/>
  <c r="G41" i="4"/>
  <c r="B40" i="5" s="1"/>
  <c r="H40" i="4"/>
  <c r="C39" i="5" s="1"/>
  <c r="G40" i="4"/>
  <c r="B39" i="5" s="1"/>
  <c r="H39" i="4"/>
  <c r="C38" i="5" s="1"/>
  <c r="G39" i="4"/>
  <c r="B38" i="5" s="1"/>
  <c r="H38" i="4"/>
  <c r="C37" i="5" s="1"/>
  <c r="G38" i="4"/>
  <c r="B37" i="5" s="1"/>
  <c r="H37" i="4"/>
  <c r="C36" i="5" s="1"/>
  <c r="G37" i="4"/>
  <c r="B36" i="5" s="1"/>
  <c r="H36" i="4"/>
  <c r="C35" i="5" s="1"/>
  <c r="G36" i="4"/>
  <c r="B35" i="5" s="1"/>
  <c r="H35" i="4"/>
  <c r="C34" i="5" s="1"/>
  <c r="G35" i="4"/>
  <c r="B34" i="5" s="1"/>
  <c r="H34" i="4"/>
  <c r="C33" i="5" s="1"/>
  <c r="G34" i="4"/>
  <c r="B33" i="5" s="1"/>
  <c r="H33" i="4"/>
  <c r="C32" i="5" s="1"/>
  <c r="G33" i="4"/>
  <c r="B32" i="5" s="1"/>
  <c r="H32" i="4"/>
  <c r="C31" i="5" s="1"/>
  <c r="G32" i="4"/>
  <c r="B31" i="5" s="1"/>
  <c r="H31" i="4"/>
  <c r="C30" i="5" s="1"/>
  <c r="G31" i="4"/>
  <c r="B30" i="5" s="1"/>
  <c r="H30" i="4"/>
  <c r="C29" i="5" s="1"/>
  <c r="G30" i="4"/>
  <c r="B29" i="5" s="1"/>
  <c r="H29" i="4"/>
  <c r="C28" i="5" s="1"/>
  <c r="G29" i="4"/>
  <c r="B28" i="5" s="1"/>
  <c r="H28" i="4"/>
  <c r="C27" i="5" s="1"/>
  <c r="G28" i="4"/>
  <c r="B27" i="5" s="1"/>
  <c r="H27" i="4"/>
  <c r="C26" i="5" s="1"/>
  <c r="G27" i="4"/>
  <c r="B26" i="5" s="1"/>
  <c r="H26" i="4"/>
  <c r="C25" i="5" s="1"/>
  <c r="G26" i="4"/>
  <c r="B25" i="5" s="1"/>
  <c r="H25" i="4"/>
  <c r="C24" i="5" s="1"/>
  <c r="G25" i="4"/>
  <c r="B24" i="5" s="1"/>
  <c r="H24" i="4"/>
  <c r="C23" i="5" s="1"/>
  <c r="G24" i="4"/>
  <c r="B23" i="5" s="1"/>
  <c r="H23" i="4"/>
  <c r="C22" i="5" s="1"/>
  <c r="G23" i="4"/>
  <c r="B22" i="5" s="1"/>
  <c r="H22" i="4"/>
  <c r="C21" i="5" s="1"/>
  <c r="G22" i="4"/>
  <c r="B21" i="5" s="1"/>
  <c r="H21" i="4"/>
  <c r="C20" i="5" s="1"/>
  <c r="G21" i="4"/>
  <c r="B20" i="5" s="1"/>
  <c r="H20" i="4"/>
  <c r="C19" i="5" s="1"/>
  <c r="G20" i="4"/>
  <c r="B19" i="5" s="1"/>
  <c r="H19" i="4"/>
  <c r="C18" i="5" s="1"/>
  <c r="G19" i="4"/>
  <c r="B18" i="5" s="1"/>
  <c r="H18" i="4"/>
  <c r="C17" i="5" s="1"/>
  <c r="G18" i="4"/>
  <c r="B17" i="5" s="1"/>
  <c r="H17" i="4"/>
  <c r="G17" i="4"/>
  <c r="H16" i="4"/>
  <c r="G16" i="4"/>
  <c r="H15" i="4"/>
  <c r="G15" i="4"/>
  <c r="H14" i="4"/>
  <c r="G14" i="4"/>
  <c r="H13" i="4"/>
  <c r="G13" i="4"/>
  <c r="H12" i="4"/>
  <c r="G12" i="4"/>
  <c r="H11" i="4"/>
  <c r="G11" i="4"/>
  <c r="H10" i="4"/>
  <c r="G10" i="4"/>
  <c r="H9" i="4"/>
  <c r="G9" i="4"/>
  <c r="H8" i="4"/>
  <c r="G8" i="4"/>
  <c r="H7" i="4"/>
  <c r="G7" i="4"/>
  <c r="H6" i="4"/>
  <c r="G6" i="4"/>
  <c r="H5" i="4"/>
  <c r="G5" i="4"/>
  <c r="B5" i="5" l="1"/>
  <c r="B6" i="5"/>
  <c r="B7" i="5"/>
  <c r="B8" i="5"/>
  <c r="B9" i="5"/>
  <c r="B10" i="5"/>
  <c r="B11" i="5"/>
  <c r="B12" i="5"/>
  <c r="B13" i="5"/>
  <c r="B14" i="5"/>
  <c r="B15" i="5"/>
  <c r="B16" i="5"/>
  <c r="C5" i="5"/>
  <c r="C6" i="5"/>
  <c r="C7" i="5"/>
  <c r="C8" i="5"/>
  <c r="C9" i="5"/>
  <c r="C10" i="5"/>
  <c r="C11" i="5"/>
  <c r="C12" i="5"/>
  <c r="C13" i="5"/>
  <c r="C14" i="5"/>
  <c r="C15" i="5"/>
  <c r="C16" i="5"/>
  <c r="C4" i="5"/>
  <c r="B4" i="5"/>
  <c r="B11" i="3" l="1"/>
  <c r="A11" i="3"/>
  <c r="C24" i="2"/>
  <c r="F23" i="2"/>
  <c r="A14" i="2"/>
  <c r="F12" i="2"/>
  <c r="A20" i="2"/>
  <c r="H12" i="2"/>
  <c r="C23" i="2"/>
  <c r="A12" i="2"/>
  <c r="C16" i="2"/>
  <c r="H21" i="2"/>
  <c r="A27" i="2"/>
  <c r="A25" i="2"/>
  <c r="C18" i="2"/>
  <c r="C25" i="2"/>
  <c r="F14" i="2"/>
  <c r="H24" i="2"/>
  <c r="F10" i="2"/>
  <c r="A22" i="2"/>
  <c r="A11" i="2"/>
  <c r="C21" i="2"/>
  <c r="A21" i="2"/>
  <c r="C11" i="2"/>
  <c r="H20" i="2"/>
  <c r="A24" i="2"/>
  <c r="H14" i="2"/>
  <c r="A19" i="2"/>
  <c r="F25" i="2"/>
  <c r="A26" i="2"/>
  <c r="F21" i="2"/>
  <c r="P2" i="3"/>
  <c r="C10" i="2"/>
  <c r="C14" i="2"/>
  <c r="A8" i="2"/>
  <c r="F15" i="2"/>
  <c r="C17" i="2"/>
  <c r="C13" i="2"/>
  <c r="C27" i="2"/>
  <c r="C26" i="2"/>
  <c r="A17" i="2"/>
  <c r="F27" i="2"/>
  <c r="H17" i="2"/>
  <c r="A18" i="2"/>
  <c r="F11" i="2"/>
  <c r="F18" i="2"/>
  <c r="F20" i="2"/>
  <c r="A10" i="2"/>
  <c r="A9" i="2"/>
  <c r="H16" i="2"/>
  <c r="C22" i="2"/>
  <c r="C19" i="2"/>
  <c r="H25" i="2"/>
  <c r="A15" i="2"/>
  <c r="F26" i="2"/>
  <c r="H18" i="2"/>
  <c r="C9" i="2"/>
  <c r="H26" i="2"/>
  <c r="C20" i="2"/>
  <c r="C15" i="2"/>
  <c r="F8" i="2"/>
  <c r="H10" i="2"/>
  <c r="A16" i="2"/>
  <c r="H8" i="2"/>
  <c r="F22" i="2"/>
  <c r="A23" i="2"/>
  <c r="H23" i="2"/>
  <c r="H27" i="2"/>
  <c r="F16" i="2"/>
  <c r="H13" i="2"/>
  <c r="F9" i="2"/>
  <c r="H19" i="2"/>
  <c r="F24" i="2"/>
  <c r="F13" i="2"/>
  <c r="H15" i="2"/>
  <c r="A13" i="2"/>
  <c r="H9" i="2"/>
  <c r="F19" i="2"/>
  <c r="H22" i="2"/>
  <c r="C12" i="2"/>
  <c r="F17" i="2"/>
  <c r="H11" i="2"/>
  <c r="C8" i="2"/>
  <c r="I23" i="2" l="1"/>
  <c r="E20" i="4" s="1"/>
  <c r="B17" i="2"/>
  <c r="B14" i="4" s="1"/>
  <c r="G21" i="2"/>
  <c r="D18" i="4" s="1"/>
  <c r="I16" i="2"/>
  <c r="E13" i="4" s="1"/>
  <c r="D20" i="2"/>
  <c r="C17" i="4" s="1"/>
  <c r="D17" i="2"/>
  <c r="C14" i="4" s="1"/>
  <c r="G18" i="2"/>
  <c r="D15" i="4" s="1"/>
  <c r="G22" i="2"/>
  <c r="D19" i="4" s="1"/>
  <c r="G13" i="2"/>
  <c r="D10" i="4" s="1"/>
  <c r="B19" i="2"/>
  <c r="B16" i="4" s="1"/>
  <c r="G11" i="2"/>
  <c r="D8" i="4" s="1"/>
  <c r="G10" i="2"/>
  <c r="D7" i="4" s="1"/>
  <c r="I24" i="2"/>
  <c r="E21" i="4" s="1"/>
  <c r="G12" i="2"/>
  <c r="D9" i="4" s="1"/>
  <c r="G8" i="2"/>
  <c r="D5" i="4" s="1"/>
  <c r="D14" i="2"/>
  <c r="C11" i="4" s="1"/>
  <c r="B10" i="2"/>
  <c r="B7" i="4" s="1"/>
  <c r="D21" i="2"/>
  <c r="C18" i="4" s="1"/>
  <c r="D9" i="2"/>
  <c r="C6" i="4" s="1"/>
  <c r="B23" i="2"/>
  <c r="B20" i="4" s="1"/>
  <c r="G23" i="2"/>
  <c r="D20" i="4" s="1"/>
  <c r="B27" i="2"/>
  <c r="B24" i="4" s="1"/>
  <c r="G24" i="2"/>
  <c r="D21" i="4" s="1"/>
  <c r="I11" i="2"/>
  <c r="E8" i="4" s="1"/>
  <c r="B22" i="2"/>
  <c r="B19" i="4" s="1"/>
  <c r="G25" i="2"/>
  <c r="D22" i="4" s="1"/>
  <c r="B24" i="2"/>
  <c r="B21" i="4" s="1"/>
  <c r="G17" i="2"/>
  <c r="D14" i="4" s="1"/>
  <c r="B15" i="2"/>
  <c r="B12" i="4" s="1"/>
  <c r="I27" i="2"/>
  <c r="E24" i="4" s="1"/>
  <c r="G27" i="2"/>
  <c r="D24" i="4" s="1"/>
  <c r="D18" i="2"/>
  <c r="C15" i="4" s="1"/>
  <c r="I13" i="2"/>
  <c r="E10" i="4" s="1"/>
  <c r="I22" i="2"/>
  <c r="E19" i="4" s="1"/>
  <c r="D10" i="2"/>
  <c r="C7" i="4" s="1"/>
  <c r="I21" i="2"/>
  <c r="E18" i="4" s="1"/>
  <c r="B11" i="2"/>
  <c r="B8" i="4" s="1"/>
  <c r="D26" i="2"/>
  <c r="C23" i="4" s="1"/>
  <c r="B9" i="2"/>
  <c r="B6" i="4" s="1"/>
  <c r="I14" i="2"/>
  <c r="E11" i="4" s="1"/>
  <c r="G15" i="2"/>
  <c r="D12" i="4" s="1"/>
  <c r="G26" i="2"/>
  <c r="D23" i="4" s="1"/>
  <c r="B20" i="2"/>
  <c r="B17" i="4" s="1"/>
  <c r="I10" i="2"/>
  <c r="E7" i="4" s="1"/>
  <c r="B8" i="2"/>
  <c r="B5" i="4" s="1"/>
  <c r="D23" i="2"/>
  <c r="C20" i="4" s="1"/>
  <c r="I17" i="2"/>
  <c r="E14" i="4" s="1"/>
  <c r="I9" i="2"/>
  <c r="E6" i="4" s="1"/>
  <c r="D22" i="2"/>
  <c r="C19" i="4" s="1"/>
  <c r="D11" i="2"/>
  <c r="C8" i="4" s="1"/>
  <c r="D15" i="2"/>
  <c r="C12" i="4" s="1"/>
  <c r="G16" i="2"/>
  <c r="D13" i="4" s="1"/>
  <c r="G20" i="2"/>
  <c r="D17" i="4" s="1"/>
  <c r="I18" i="2"/>
  <c r="E15" i="4" s="1"/>
  <c r="I15" i="2"/>
  <c r="E12" i="4" s="1"/>
  <c r="D24" i="2"/>
  <c r="C21" i="4" s="1"/>
  <c r="B16" i="2"/>
  <c r="B13" i="4" s="1"/>
  <c r="I19" i="2"/>
  <c r="E16" i="4" s="1"/>
  <c r="D13" i="2"/>
  <c r="C10" i="4" s="1"/>
  <c r="I25" i="2"/>
  <c r="E22" i="4" s="1"/>
  <c r="D25" i="2"/>
  <c r="C22" i="4" s="1"/>
  <c r="G9" i="2"/>
  <c r="D6" i="4" s="1"/>
  <c r="B18" i="2"/>
  <c r="B15" i="4" s="1"/>
  <c r="I26" i="2"/>
  <c r="E23" i="4" s="1"/>
  <c r="B14" i="2"/>
  <c r="B11" i="4" s="1"/>
  <c r="B13" i="2"/>
  <c r="B10" i="4" s="1"/>
  <c r="B25" i="2"/>
  <c r="B22" i="4" s="1"/>
  <c r="B21" i="2"/>
  <c r="B18" i="4" s="1"/>
  <c r="D8" i="2"/>
  <c r="C5" i="4" s="1"/>
  <c r="D16" i="2"/>
  <c r="C13" i="4" s="1"/>
  <c r="B26" i="2"/>
  <c r="B23" i="4" s="1"/>
  <c r="D27" i="2"/>
  <c r="C24" i="4" s="1"/>
  <c r="G14" i="2"/>
  <c r="D11" i="4" s="1"/>
  <c r="B12" i="2"/>
  <c r="B9" i="4" s="1"/>
  <c r="I8" i="2"/>
  <c r="E5" i="4" s="1"/>
  <c r="G19" i="2"/>
  <c r="D16" i="4" s="1"/>
  <c r="D19" i="2"/>
  <c r="C16" i="4" s="1"/>
  <c r="I20" i="2"/>
  <c r="E17" i="4" s="1"/>
  <c r="D12" i="2"/>
  <c r="C9" i="4" s="1"/>
  <c r="I12" i="2"/>
  <c r="E9" i="4" s="1"/>
  <c r="L370" i="4" l="1"/>
  <c r="L332" i="4"/>
  <c r="L351" i="4"/>
  <c r="L313" i="4"/>
  <c r="L294" i="4"/>
  <c r="L256" i="4"/>
  <c r="L275" i="4"/>
  <c r="L237" i="4"/>
  <c r="L199" i="4"/>
  <c r="L161" i="4"/>
  <c r="L218" i="4"/>
  <c r="L180" i="4"/>
  <c r="L142" i="4"/>
  <c r="L104" i="4"/>
  <c r="L65" i="4"/>
  <c r="L27" i="4"/>
  <c r="L8" i="4"/>
  <c r="L46" i="4"/>
  <c r="L123" i="4"/>
  <c r="I269" i="4"/>
  <c r="I267" i="4"/>
  <c r="I265" i="4"/>
  <c r="I263" i="4"/>
  <c r="I261" i="4"/>
  <c r="I259" i="4"/>
  <c r="I257" i="4"/>
  <c r="I255" i="4"/>
  <c r="I253" i="4"/>
  <c r="I270" i="4"/>
  <c r="I266" i="4"/>
  <c r="I262" i="4"/>
  <c r="I258" i="4"/>
  <c r="I254" i="4"/>
  <c r="I256" i="4"/>
  <c r="I268" i="4"/>
  <c r="I252" i="4"/>
  <c r="I264" i="4"/>
  <c r="I260" i="4"/>
  <c r="L384" i="4"/>
  <c r="L326" i="4"/>
  <c r="L345" i="4"/>
  <c r="L307" i="4"/>
  <c r="L288" i="4"/>
  <c r="L250" i="4"/>
  <c r="L269" i="4"/>
  <c r="L231" i="4"/>
  <c r="L193" i="4"/>
  <c r="L155" i="4"/>
  <c r="L212" i="4"/>
  <c r="L174" i="4"/>
  <c r="L136" i="4"/>
  <c r="L98" i="4"/>
  <c r="L79" i="4"/>
  <c r="L41" i="4"/>
  <c r="L117" i="4"/>
  <c r="L22" i="4"/>
  <c r="L60" i="4"/>
  <c r="K374" i="4"/>
  <c r="K336" i="4"/>
  <c r="K317" i="4"/>
  <c r="K298" i="4"/>
  <c r="K260" i="4"/>
  <c r="K241" i="4"/>
  <c r="K355" i="4"/>
  <c r="K203" i="4"/>
  <c r="K145" i="4"/>
  <c r="K107" i="4"/>
  <c r="K279" i="4"/>
  <c r="K88" i="4"/>
  <c r="K50" i="4"/>
  <c r="K12" i="4"/>
  <c r="K184" i="4"/>
  <c r="K222" i="4"/>
  <c r="K69" i="4"/>
  <c r="K31" i="4"/>
  <c r="K126" i="4"/>
  <c r="L368" i="4"/>
  <c r="L330" i="4"/>
  <c r="L349" i="4"/>
  <c r="L311" i="4"/>
  <c r="L292" i="4"/>
  <c r="L254" i="4"/>
  <c r="L273" i="4"/>
  <c r="L235" i="4"/>
  <c r="L197" i="4"/>
  <c r="L159" i="4"/>
  <c r="L216" i="4"/>
  <c r="L178" i="4"/>
  <c r="L140" i="4"/>
  <c r="L102" i="4"/>
  <c r="L25" i="4"/>
  <c r="L83" i="4"/>
  <c r="L121" i="4"/>
  <c r="L6" i="4"/>
  <c r="L64" i="4"/>
  <c r="L360" i="4"/>
  <c r="L322" i="4"/>
  <c r="L379" i="4"/>
  <c r="L341" i="4"/>
  <c r="L303" i="4"/>
  <c r="L284" i="4"/>
  <c r="L245" i="4"/>
  <c r="L207" i="4"/>
  <c r="L169" i="4"/>
  <c r="L131" i="4"/>
  <c r="L226" i="4"/>
  <c r="L188" i="4"/>
  <c r="L150" i="4"/>
  <c r="L112" i="4"/>
  <c r="L55" i="4"/>
  <c r="L17" i="4"/>
  <c r="L93" i="4"/>
  <c r="L36" i="4"/>
  <c r="L74" i="4"/>
  <c r="K356" i="4"/>
  <c r="K318" i="4"/>
  <c r="K337" i="4"/>
  <c r="K280" i="4"/>
  <c r="K242" i="4"/>
  <c r="K375" i="4"/>
  <c r="K261" i="4"/>
  <c r="K223" i="4"/>
  <c r="K165" i="4"/>
  <c r="K127" i="4"/>
  <c r="K299" i="4"/>
  <c r="K70" i="4"/>
  <c r="K32" i="4"/>
  <c r="K204" i="4"/>
  <c r="K89" i="4"/>
  <c r="K51" i="4"/>
  <c r="K13" i="4"/>
  <c r="K146" i="4"/>
  <c r="K108" i="4"/>
  <c r="I307" i="4"/>
  <c r="I305" i="4"/>
  <c r="I303" i="4"/>
  <c r="I301" i="4"/>
  <c r="I308" i="4"/>
  <c r="I304" i="4"/>
  <c r="I299" i="4"/>
  <c r="I297" i="4"/>
  <c r="I295" i="4"/>
  <c r="I293" i="4"/>
  <c r="I291" i="4"/>
  <c r="I306" i="4"/>
  <c r="I302" i="4"/>
  <c r="I298" i="4"/>
  <c r="I294" i="4"/>
  <c r="I290" i="4"/>
  <c r="I300" i="4"/>
  <c r="I296" i="4"/>
  <c r="I292" i="4"/>
  <c r="K368" i="4"/>
  <c r="K330" i="4"/>
  <c r="K349" i="4"/>
  <c r="K292" i="4"/>
  <c r="K254" i="4"/>
  <c r="K311" i="4"/>
  <c r="K273" i="4"/>
  <c r="K235" i="4"/>
  <c r="K197" i="4"/>
  <c r="K159" i="4"/>
  <c r="K121" i="4"/>
  <c r="K64" i="4"/>
  <c r="K6" i="4"/>
  <c r="K216" i="4"/>
  <c r="K140" i="4"/>
  <c r="K83" i="4"/>
  <c r="K25" i="4"/>
  <c r="K178" i="4"/>
  <c r="K102" i="4"/>
  <c r="L374" i="4"/>
  <c r="L336" i="4"/>
  <c r="L355" i="4"/>
  <c r="L317" i="4"/>
  <c r="L298" i="4"/>
  <c r="L260" i="4"/>
  <c r="L279" i="4"/>
  <c r="L241" i="4"/>
  <c r="L203" i="4"/>
  <c r="L145" i="4"/>
  <c r="L222" i="4"/>
  <c r="L184" i="4"/>
  <c r="L126" i="4"/>
  <c r="L69" i="4"/>
  <c r="L31" i="4"/>
  <c r="L50" i="4"/>
  <c r="L107" i="4"/>
  <c r="L88" i="4"/>
  <c r="L12" i="4"/>
  <c r="J99" i="4"/>
  <c r="J97" i="4"/>
  <c r="J95" i="4"/>
  <c r="J93" i="4"/>
  <c r="J98" i="4"/>
  <c r="J96" i="4"/>
  <c r="J94" i="4"/>
  <c r="J92" i="4"/>
  <c r="J90" i="4"/>
  <c r="J88" i="4"/>
  <c r="J86" i="4"/>
  <c r="J84" i="4"/>
  <c r="J82" i="4"/>
  <c r="J89" i="4"/>
  <c r="J85" i="4"/>
  <c r="J81" i="4"/>
  <c r="J91" i="4"/>
  <c r="J87" i="4"/>
  <c r="J83" i="4"/>
  <c r="L366" i="4"/>
  <c r="L328" i="4"/>
  <c r="L347" i="4"/>
  <c r="L309" i="4"/>
  <c r="L290" i="4"/>
  <c r="L252" i="4"/>
  <c r="L271" i="4"/>
  <c r="L233" i="4"/>
  <c r="L195" i="4"/>
  <c r="L157" i="4"/>
  <c r="L214" i="4"/>
  <c r="L176" i="4"/>
  <c r="L138" i="4"/>
  <c r="L100" i="4"/>
  <c r="L81" i="4"/>
  <c r="L43" i="4"/>
  <c r="L62" i="4"/>
  <c r="L24" i="4"/>
  <c r="L119" i="4"/>
  <c r="I365" i="4"/>
  <c r="I363" i="4"/>
  <c r="I361" i="4"/>
  <c r="I359" i="4"/>
  <c r="I357" i="4"/>
  <c r="I355" i="4"/>
  <c r="I353" i="4"/>
  <c r="I351" i="4"/>
  <c r="I349" i="4"/>
  <c r="I347" i="4"/>
  <c r="I364" i="4"/>
  <c r="I360" i="4"/>
  <c r="I356" i="4"/>
  <c r="I352" i="4"/>
  <c r="I348" i="4"/>
  <c r="I362" i="4"/>
  <c r="I358" i="4"/>
  <c r="I354" i="4"/>
  <c r="I350" i="4"/>
  <c r="I345" i="4"/>
  <c r="I343" i="4"/>
  <c r="I341" i="4"/>
  <c r="I339" i="4"/>
  <c r="I337" i="4"/>
  <c r="I335" i="4"/>
  <c r="I333" i="4"/>
  <c r="I331" i="4"/>
  <c r="I329" i="4"/>
  <c r="I344" i="4"/>
  <c r="I340" i="4"/>
  <c r="I336" i="4"/>
  <c r="I332" i="4"/>
  <c r="I328" i="4"/>
  <c r="I346" i="4"/>
  <c r="I342" i="4"/>
  <c r="I338" i="4"/>
  <c r="I334" i="4"/>
  <c r="I330" i="4"/>
  <c r="I212" i="4"/>
  <c r="I210" i="4"/>
  <c r="I208" i="4"/>
  <c r="I206" i="4"/>
  <c r="I204" i="4"/>
  <c r="I202" i="4"/>
  <c r="I200" i="4"/>
  <c r="I198" i="4"/>
  <c r="I196" i="4"/>
  <c r="I211" i="4"/>
  <c r="I207" i="4"/>
  <c r="I203" i="4"/>
  <c r="I199" i="4"/>
  <c r="I195" i="4"/>
  <c r="I213" i="4"/>
  <c r="I209" i="4"/>
  <c r="I205" i="4"/>
  <c r="I201" i="4"/>
  <c r="I197" i="4"/>
  <c r="J117" i="4"/>
  <c r="J115" i="4"/>
  <c r="J113" i="4"/>
  <c r="J111" i="4"/>
  <c r="J109" i="4"/>
  <c r="J107" i="4"/>
  <c r="J105" i="4"/>
  <c r="J103" i="4"/>
  <c r="J101" i="4"/>
  <c r="J118" i="4"/>
  <c r="J116" i="4"/>
  <c r="J114" i="4"/>
  <c r="J112" i="4"/>
  <c r="J110" i="4"/>
  <c r="J108" i="4"/>
  <c r="J106" i="4"/>
  <c r="J104" i="4"/>
  <c r="J102" i="4"/>
  <c r="J100" i="4"/>
  <c r="L354" i="4"/>
  <c r="L316" i="4"/>
  <c r="L373" i="4"/>
  <c r="L335" i="4"/>
  <c r="L278" i="4"/>
  <c r="L240" i="4"/>
  <c r="L297" i="4"/>
  <c r="L259" i="4"/>
  <c r="L221" i="4"/>
  <c r="L183" i="4"/>
  <c r="L202" i="4"/>
  <c r="L164" i="4"/>
  <c r="L106" i="4"/>
  <c r="L87" i="4"/>
  <c r="L49" i="4"/>
  <c r="L11" i="4"/>
  <c r="L125" i="4"/>
  <c r="L68" i="4"/>
  <c r="L30" i="4"/>
  <c r="J156" i="4"/>
  <c r="J154" i="4"/>
  <c r="J152" i="4"/>
  <c r="J150" i="4"/>
  <c r="J148" i="4"/>
  <c r="J146" i="4"/>
  <c r="J144" i="4"/>
  <c r="J142" i="4"/>
  <c r="J140" i="4"/>
  <c r="J138" i="4"/>
  <c r="J155" i="4"/>
  <c r="J153" i="4"/>
  <c r="J151" i="4"/>
  <c r="J149" i="4"/>
  <c r="J147" i="4"/>
  <c r="J145" i="4"/>
  <c r="J143" i="4"/>
  <c r="J141" i="4"/>
  <c r="J139" i="4"/>
  <c r="L356" i="4"/>
  <c r="L318" i="4"/>
  <c r="L375" i="4"/>
  <c r="L337" i="4"/>
  <c r="L280" i="4"/>
  <c r="L242" i="4"/>
  <c r="L299" i="4"/>
  <c r="L261" i="4"/>
  <c r="L223" i="4"/>
  <c r="L165" i="4"/>
  <c r="L127" i="4"/>
  <c r="L204" i="4"/>
  <c r="L146" i="4"/>
  <c r="L108" i="4"/>
  <c r="L89" i="4"/>
  <c r="L51" i="4"/>
  <c r="L13" i="4"/>
  <c r="L70" i="4"/>
  <c r="L32" i="4"/>
  <c r="I251" i="4"/>
  <c r="I249" i="4"/>
  <c r="I247" i="4"/>
  <c r="I245" i="4"/>
  <c r="I243" i="4"/>
  <c r="I250" i="4"/>
  <c r="I246" i="4"/>
  <c r="I242" i="4"/>
  <c r="I241" i="4"/>
  <c r="I240" i="4"/>
  <c r="I239" i="4"/>
  <c r="I238" i="4"/>
  <c r="I236" i="4"/>
  <c r="I234" i="4"/>
  <c r="I235" i="4"/>
  <c r="I244" i="4"/>
  <c r="I248" i="4"/>
  <c r="I237" i="4"/>
  <c r="I233" i="4"/>
  <c r="I41" i="4"/>
  <c r="I39" i="4"/>
  <c r="I37" i="4"/>
  <c r="I35" i="4"/>
  <c r="I33" i="4"/>
  <c r="I31" i="4"/>
  <c r="I29" i="4"/>
  <c r="I27" i="4"/>
  <c r="I25" i="4"/>
  <c r="I42" i="4"/>
  <c r="I40" i="4"/>
  <c r="I38" i="4"/>
  <c r="I36" i="4"/>
  <c r="I34" i="4"/>
  <c r="I32" i="4"/>
  <c r="I30" i="4"/>
  <c r="I28" i="4"/>
  <c r="I26" i="4"/>
  <c r="I24" i="4"/>
  <c r="J60" i="4"/>
  <c r="J58" i="4"/>
  <c r="J56" i="4"/>
  <c r="J54" i="4"/>
  <c r="J52" i="4"/>
  <c r="J50" i="4"/>
  <c r="J48" i="4"/>
  <c r="J46" i="4"/>
  <c r="J44" i="4"/>
  <c r="J61" i="4"/>
  <c r="J57" i="4"/>
  <c r="J53" i="4"/>
  <c r="J49" i="4"/>
  <c r="J45" i="4"/>
  <c r="J59" i="4"/>
  <c r="J55" i="4"/>
  <c r="J51" i="4"/>
  <c r="J47" i="4"/>
  <c r="J43" i="4"/>
  <c r="K346" i="4"/>
  <c r="K308" i="4"/>
  <c r="K365" i="4"/>
  <c r="K270" i="4"/>
  <c r="K327" i="4"/>
  <c r="K289" i="4"/>
  <c r="K213" i="4"/>
  <c r="K175" i="4"/>
  <c r="K137" i="4"/>
  <c r="K99" i="4"/>
  <c r="K251" i="4"/>
  <c r="K80" i="4"/>
  <c r="K42" i="4"/>
  <c r="K232" i="4"/>
  <c r="K156" i="4"/>
  <c r="K61" i="4"/>
  <c r="K23" i="4"/>
  <c r="K194" i="4"/>
  <c r="K118" i="4"/>
  <c r="I327" i="4"/>
  <c r="I325" i="4"/>
  <c r="I323" i="4"/>
  <c r="I321" i="4"/>
  <c r="I319" i="4"/>
  <c r="I317" i="4"/>
  <c r="I315" i="4"/>
  <c r="I313" i="4"/>
  <c r="I311" i="4"/>
  <c r="I309" i="4"/>
  <c r="I324" i="4"/>
  <c r="I320" i="4"/>
  <c r="I316" i="4"/>
  <c r="I312" i="4"/>
  <c r="I326" i="4"/>
  <c r="I322" i="4"/>
  <c r="I318" i="4"/>
  <c r="I314" i="4"/>
  <c r="I310" i="4"/>
  <c r="K382" i="4"/>
  <c r="K344" i="4"/>
  <c r="K305" i="4"/>
  <c r="K286" i="4"/>
  <c r="K248" i="4"/>
  <c r="K229" i="4"/>
  <c r="K191" i="4"/>
  <c r="K153" i="4"/>
  <c r="K115" i="4"/>
  <c r="K267" i="4"/>
  <c r="K58" i="4"/>
  <c r="K20" i="4"/>
  <c r="K172" i="4"/>
  <c r="K210" i="4"/>
  <c r="K77" i="4"/>
  <c r="K39" i="4"/>
  <c r="K363" i="4"/>
  <c r="K96" i="4"/>
  <c r="K134" i="4"/>
  <c r="J34" i="4"/>
  <c r="J26" i="4"/>
  <c r="J24" i="4"/>
  <c r="J42" i="4"/>
  <c r="J40" i="4"/>
  <c r="J38" i="4"/>
  <c r="J36" i="4"/>
  <c r="J32" i="4"/>
  <c r="J30" i="4"/>
  <c r="J28" i="4"/>
  <c r="J41" i="4"/>
  <c r="J37" i="4"/>
  <c r="J33" i="4"/>
  <c r="J29" i="4"/>
  <c r="J25" i="4"/>
  <c r="J39" i="4"/>
  <c r="J35" i="4"/>
  <c r="J31" i="4"/>
  <c r="J27" i="4"/>
  <c r="K366" i="4"/>
  <c r="K328" i="4"/>
  <c r="K309" i="4"/>
  <c r="K290" i="4"/>
  <c r="K252" i="4"/>
  <c r="K233" i="4"/>
  <c r="K195" i="4"/>
  <c r="K157" i="4"/>
  <c r="K119" i="4"/>
  <c r="K271" i="4"/>
  <c r="K347" i="4"/>
  <c r="K62" i="4"/>
  <c r="K24" i="4"/>
  <c r="K176" i="4"/>
  <c r="K214" i="4"/>
  <c r="K81" i="4"/>
  <c r="K43" i="4"/>
  <c r="K100" i="4"/>
  <c r="K138" i="4"/>
  <c r="K350" i="4"/>
  <c r="K312" i="4"/>
  <c r="K369" i="4"/>
  <c r="K274" i="4"/>
  <c r="K293" i="4"/>
  <c r="K217" i="4"/>
  <c r="K179" i="4"/>
  <c r="K141" i="4"/>
  <c r="K103" i="4"/>
  <c r="K255" i="4"/>
  <c r="K84" i="4"/>
  <c r="K26" i="4"/>
  <c r="K331" i="4"/>
  <c r="K236" i="4"/>
  <c r="K160" i="4"/>
  <c r="K198" i="4"/>
  <c r="K45" i="4"/>
  <c r="K7" i="4"/>
  <c r="K122" i="4"/>
  <c r="K376" i="4"/>
  <c r="K338" i="4"/>
  <c r="K300" i="4"/>
  <c r="K357" i="4"/>
  <c r="K262" i="4"/>
  <c r="K281" i="4"/>
  <c r="K185" i="4"/>
  <c r="K147" i="4"/>
  <c r="K109" i="4"/>
  <c r="K319" i="4"/>
  <c r="K243" i="4"/>
  <c r="K90" i="4"/>
  <c r="K52" i="4"/>
  <c r="K14" i="4"/>
  <c r="K166" i="4"/>
  <c r="K224" i="4"/>
  <c r="K128" i="4"/>
  <c r="K71" i="4"/>
  <c r="K33" i="4"/>
  <c r="K360" i="4"/>
  <c r="K322" i="4"/>
  <c r="K341" i="4"/>
  <c r="K284" i="4"/>
  <c r="K245" i="4"/>
  <c r="K207" i="4"/>
  <c r="K169" i="4"/>
  <c r="K131" i="4"/>
  <c r="K93" i="4"/>
  <c r="K303" i="4"/>
  <c r="K74" i="4"/>
  <c r="K36" i="4"/>
  <c r="K226" i="4"/>
  <c r="K150" i="4"/>
  <c r="K188" i="4"/>
  <c r="K379" i="4"/>
  <c r="K55" i="4"/>
  <c r="K17" i="4"/>
  <c r="K112" i="4"/>
  <c r="J383" i="4"/>
  <c r="J381" i="4"/>
  <c r="J379" i="4"/>
  <c r="J377" i="4"/>
  <c r="J375" i="4"/>
  <c r="J373" i="4"/>
  <c r="J371" i="4"/>
  <c r="J369" i="4"/>
  <c r="J367" i="4"/>
  <c r="J384" i="4"/>
  <c r="J382" i="4"/>
  <c r="J380" i="4"/>
  <c r="J378" i="4"/>
  <c r="J376" i="4"/>
  <c r="J374" i="4"/>
  <c r="J372" i="4"/>
  <c r="J370" i="4"/>
  <c r="J368" i="4"/>
  <c r="J366" i="4"/>
  <c r="L364" i="4"/>
  <c r="L306" i="4"/>
  <c r="L383" i="4"/>
  <c r="L325" i="4"/>
  <c r="L268" i="4"/>
  <c r="L287" i="4"/>
  <c r="L249" i="4"/>
  <c r="L211" i="4"/>
  <c r="L173" i="4"/>
  <c r="L135" i="4"/>
  <c r="L230" i="4"/>
  <c r="L192" i="4"/>
  <c r="L154" i="4"/>
  <c r="L116" i="4"/>
  <c r="L59" i="4"/>
  <c r="L21" i="4"/>
  <c r="L97" i="4"/>
  <c r="L78" i="4"/>
  <c r="L40" i="4"/>
  <c r="L348" i="4"/>
  <c r="L310" i="4"/>
  <c r="L367" i="4"/>
  <c r="L329" i="4"/>
  <c r="L272" i="4"/>
  <c r="L291" i="4"/>
  <c r="L253" i="4"/>
  <c r="L215" i="4"/>
  <c r="L177" i="4"/>
  <c r="L139" i="4"/>
  <c r="L234" i="4"/>
  <c r="L196" i="4"/>
  <c r="L158" i="4"/>
  <c r="L120" i="4"/>
  <c r="L5" i="4"/>
  <c r="L63" i="4"/>
  <c r="L101" i="4"/>
  <c r="L44" i="4"/>
  <c r="L82" i="4"/>
  <c r="L372" i="4"/>
  <c r="L334" i="4"/>
  <c r="L353" i="4"/>
  <c r="L315" i="4"/>
  <c r="L296" i="4"/>
  <c r="L258" i="4"/>
  <c r="L277" i="4"/>
  <c r="L239" i="4"/>
  <c r="L201" i="4"/>
  <c r="L163" i="4"/>
  <c r="L220" i="4"/>
  <c r="L182" i="4"/>
  <c r="L144" i="4"/>
  <c r="L67" i="4"/>
  <c r="L29" i="4"/>
  <c r="L105" i="4"/>
  <c r="L86" i="4"/>
  <c r="L10" i="4"/>
  <c r="L48" i="4"/>
  <c r="J212" i="4"/>
  <c r="J210" i="4"/>
  <c r="J208" i="4"/>
  <c r="J206" i="4"/>
  <c r="J204" i="4"/>
  <c r="J202" i="4"/>
  <c r="J200" i="4"/>
  <c r="J198" i="4"/>
  <c r="J196" i="4"/>
  <c r="J213" i="4"/>
  <c r="J211" i="4"/>
  <c r="J209" i="4"/>
  <c r="J207" i="4"/>
  <c r="J205" i="4"/>
  <c r="J203" i="4"/>
  <c r="J201" i="4"/>
  <c r="J199" i="4"/>
  <c r="J197" i="4"/>
  <c r="J195" i="4"/>
  <c r="L350" i="4"/>
  <c r="L312" i="4"/>
  <c r="L369" i="4"/>
  <c r="L331" i="4"/>
  <c r="L274" i="4"/>
  <c r="L293" i="4"/>
  <c r="L255" i="4"/>
  <c r="L217" i="4"/>
  <c r="L179" i="4"/>
  <c r="L141" i="4"/>
  <c r="L236" i="4"/>
  <c r="L198" i="4"/>
  <c r="L160" i="4"/>
  <c r="L122" i="4"/>
  <c r="L45" i="4"/>
  <c r="L7" i="4"/>
  <c r="L26" i="4"/>
  <c r="L84" i="4"/>
  <c r="L103" i="4"/>
  <c r="J136" i="4"/>
  <c r="J134" i="4"/>
  <c r="J132" i="4"/>
  <c r="J130" i="4"/>
  <c r="J128" i="4"/>
  <c r="J137" i="4"/>
  <c r="J135" i="4"/>
  <c r="J133" i="4"/>
  <c r="J131" i="4"/>
  <c r="J129" i="4"/>
  <c r="J127" i="4"/>
  <c r="J125" i="4"/>
  <c r="J123" i="4"/>
  <c r="J121" i="4"/>
  <c r="J119" i="4"/>
  <c r="J126" i="4"/>
  <c r="J124" i="4"/>
  <c r="J122" i="4"/>
  <c r="J120" i="4"/>
  <c r="K380" i="4"/>
  <c r="K342" i="4"/>
  <c r="K304" i="4"/>
  <c r="K361" i="4"/>
  <c r="K246" i="4"/>
  <c r="K265" i="4"/>
  <c r="K323" i="4"/>
  <c r="K227" i="4"/>
  <c r="K189" i="4"/>
  <c r="K151" i="4"/>
  <c r="K113" i="4"/>
  <c r="K56" i="4"/>
  <c r="K18" i="4"/>
  <c r="K208" i="4"/>
  <c r="K132" i="4"/>
  <c r="K170" i="4"/>
  <c r="K75" i="4"/>
  <c r="K37" i="4"/>
  <c r="K94" i="4"/>
  <c r="L378" i="4"/>
  <c r="L340" i="4"/>
  <c r="L302" i="4"/>
  <c r="L359" i="4"/>
  <c r="L321" i="4"/>
  <c r="L264" i="4"/>
  <c r="L283" i="4"/>
  <c r="L225" i="4"/>
  <c r="L187" i="4"/>
  <c r="L149" i="4"/>
  <c r="L206" i="4"/>
  <c r="L168" i="4"/>
  <c r="L130" i="4"/>
  <c r="L73" i="4"/>
  <c r="L35" i="4"/>
  <c r="L16" i="4"/>
  <c r="L54" i="4"/>
  <c r="L111" i="4"/>
  <c r="L92" i="4"/>
  <c r="I98" i="4"/>
  <c r="I96" i="4"/>
  <c r="I94" i="4"/>
  <c r="I99" i="4"/>
  <c r="I97" i="4"/>
  <c r="I95" i="4"/>
  <c r="I93" i="4"/>
  <c r="I91" i="4"/>
  <c r="I89" i="4"/>
  <c r="I87" i="4"/>
  <c r="I85" i="4"/>
  <c r="I83" i="4"/>
  <c r="I81" i="4"/>
  <c r="I92" i="4"/>
  <c r="I90" i="4"/>
  <c r="I88" i="4"/>
  <c r="I86" i="4"/>
  <c r="I84" i="4"/>
  <c r="I82" i="4"/>
  <c r="J174" i="4"/>
  <c r="J172" i="4"/>
  <c r="J170" i="4"/>
  <c r="J168" i="4"/>
  <c r="J166" i="4"/>
  <c r="J164" i="4"/>
  <c r="J162" i="4"/>
  <c r="J160" i="4"/>
  <c r="J158" i="4"/>
  <c r="J175" i="4"/>
  <c r="J173" i="4"/>
  <c r="J171" i="4"/>
  <c r="J169" i="4"/>
  <c r="J167" i="4"/>
  <c r="J165" i="4"/>
  <c r="J163" i="4"/>
  <c r="J161" i="4"/>
  <c r="J159" i="4"/>
  <c r="J157" i="4"/>
  <c r="I118" i="4"/>
  <c r="I116" i="4"/>
  <c r="I114" i="4"/>
  <c r="I112" i="4"/>
  <c r="I110" i="4"/>
  <c r="I108" i="4"/>
  <c r="I106" i="4"/>
  <c r="I104" i="4"/>
  <c r="I102" i="4"/>
  <c r="I100" i="4"/>
  <c r="I117" i="4"/>
  <c r="I115" i="4"/>
  <c r="I113" i="4"/>
  <c r="I111" i="4"/>
  <c r="I109" i="4"/>
  <c r="I107" i="4"/>
  <c r="I105" i="4"/>
  <c r="I103" i="4"/>
  <c r="I101" i="4"/>
  <c r="K348" i="4"/>
  <c r="K310" i="4"/>
  <c r="K329" i="4"/>
  <c r="K272" i="4"/>
  <c r="K253" i="4"/>
  <c r="K215" i="4"/>
  <c r="K177" i="4"/>
  <c r="K139" i="4"/>
  <c r="K101" i="4"/>
  <c r="K367" i="4"/>
  <c r="K291" i="4"/>
  <c r="K82" i="4"/>
  <c r="K44" i="4"/>
  <c r="K158" i="4"/>
  <c r="K196" i="4"/>
  <c r="K234" i="4"/>
  <c r="K63" i="4"/>
  <c r="K5" i="4"/>
  <c r="K120" i="4"/>
  <c r="L358" i="4"/>
  <c r="L320" i="4"/>
  <c r="L377" i="4"/>
  <c r="L339" i="4"/>
  <c r="L282" i="4"/>
  <c r="L244" i="4"/>
  <c r="L301" i="4"/>
  <c r="L263" i="4"/>
  <c r="L205" i="4"/>
  <c r="L167" i="4"/>
  <c r="L129" i="4"/>
  <c r="L186" i="4"/>
  <c r="L148" i="4"/>
  <c r="L110" i="4"/>
  <c r="L91" i="4"/>
  <c r="L53" i="4"/>
  <c r="L15" i="4"/>
  <c r="L34" i="4"/>
  <c r="L72" i="4"/>
  <c r="L376" i="4"/>
  <c r="L338" i="4"/>
  <c r="L300" i="4"/>
  <c r="L357" i="4"/>
  <c r="L319" i="4"/>
  <c r="L262" i="4"/>
  <c r="L281" i="4"/>
  <c r="L243" i="4"/>
  <c r="L185" i="4"/>
  <c r="L147" i="4"/>
  <c r="L224" i="4"/>
  <c r="L166" i="4"/>
  <c r="L128" i="4"/>
  <c r="L71" i="4"/>
  <c r="L33" i="4"/>
  <c r="L109" i="4"/>
  <c r="L90" i="4"/>
  <c r="L14" i="4"/>
  <c r="L52" i="4"/>
  <c r="J80" i="4"/>
  <c r="J78" i="4"/>
  <c r="J76" i="4"/>
  <c r="J74" i="4"/>
  <c r="J72" i="4"/>
  <c r="J70" i="4"/>
  <c r="J68" i="4"/>
  <c r="J66" i="4"/>
  <c r="J64" i="4"/>
  <c r="J62" i="4"/>
  <c r="J77" i="4"/>
  <c r="J73" i="4"/>
  <c r="J69" i="4"/>
  <c r="J65" i="4"/>
  <c r="J79" i="4"/>
  <c r="J75" i="4"/>
  <c r="J71" i="4"/>
  <c r="J67" i="4"/>
  <c r="J63" i="4"/>
  <c r="J307" i="4"/>
  <c r="J305" i="4"/>
  <c r="J303" i="4"/>
  <c r="J301" i="4"/>
  <c r="J308" i="4"/>
  <c r="J306" i="4"/>
  <c r="J304" i="4"/>
  <c r="J299" i="4"/>
  <c r="J297" i="4"/>
  <c r="J295" i="4"/>
  <c r="J293" i="4"/>
  <c r="J291" i="4"/>
  <c r="J302" i="4"/>
  <c r="J300" i="4"/>
  <c r="J298" i="4"/>
  <c r="J296" i="4"/>
  <c r="J294" i="4"/>
  <c r="J292" i="4"/>
  <c r="J290" i="4"/>
  <c r="K384" i="4"/>
  <c r="K326" i="4"/>
  <c r="K345" i="4"/>
  <c r="K288" i="4"/>
  <c r="K250" i="4"/>
  <c r="K269" i="4"/>
  <c r="K307" i="4"/>
  <c r="K231" i="4"/>
  <c r="K193" i="4"/>
  <c r="K155" i="4"/>
  <c r="K117" i="4"/>
  <c r="K60" i="4"/>
  <c r="K22" i="4"/>
  <c r="K212" i="4"/>
  <c r="K136" i="4"/>
  <c r="K79" i="4"/>
  <c r="K41" i="4"/>
  <c r="K174" i="4"/>
  <c r="K98" i="4"/>
  <c r="J365" i="4"/>
  <c r="J363" i="4"/>
  <c r="J361" i="4"/>
  <c r="J359" i="4"/>
  <c r="J357" i="4"/>
  <c r="J355" i="4"/>
  <c r="J353" i="4"/>
  <c r="J351" i="4"/>
  <c r="J349" i="4"/>
  <c r="J347" i="4"/>
  <c r="J364" i="4"/>
  <c r="J362" i="4"/>
  <c r="J360" i="4"/>
  <c r="J358" i="4"/>
  <c r="J356" i="4"/>
  <c r="J354" i="4"/>
  <c r="J352" i="4"/>
  <c r="J350" i="4"/>
  <c r="J348" i="4"/>
  <c r="L380" i="4"/>
  <c r="L342" i="4"/>
  <c r="L304" i="4"/>
  <c r="L361" i="4"/>
  <c r="L323" i="4"/>
  <c r="L246" i="4"/>
  <c r="L265" i="4"/>
  <c r="L227" i="4"/>
  <c r="L189" i="4"/>
  <c r="L151" i="4"/>
  <c r="L208" i="4"/>
  <c r="L170" i="4"/>
  <c r="L132" i="4"/>
  <c r="L94" i="4"/>
  <c r="L75" i="4"/>
  <c r="L37" i="4"/>
  <c r="L113" i="4"/>
  <c r="L56" i="4"/>
  <c r="L18" i="4"/>
  <c r="L346" i="4"/>
  <c r="L308" i="4"/>
  <c r="L365" i="4"/>
  <c r="L327" i="4"/>
  <c r="L270" i="4"/>
  <c r="L289" i="4"/>
  <c r="L251" i="4"/>
  <c r="L213" i="4"/>
  <c r="L175" i="4"/>
  <c r="L137" i="4"/>
  <c r="L232" i="4"/>
  <c r="L194" i="4"/>
  <c r="L156" i="4"/>
  <c r="L118" i="4"/>
  <c r="L23" i="4"/>
  <c r="L61" i="4"/>
  <c r="L80" i="4"/>
  <c r="L42" i="4"/>
  <c r="L99" i="4"/>
  <c r="K364" i="4"/>
  <c r="K306" i="4"/>
  <c r="K325" i="4"/>
  <c r="K268" i="4"/>
  <c r="K249" i="4"/>
  <c r="K211" i="4"/>
  <c r="K173" i="4"/>
  <c r="K135" i="4"/>
  <c r="K97" i="4"/>
  <c r="K383" i="4"/>
  <c r="K287" i="4"/>
  <c r="K78" i="4"/>
  <c r="K40" i="4"/>
  <c r="K230" i="4"/>
  <c r="K154" i="4"/>
  <c r="K192" i="4"/>
  <c r="K59" i="4"/>
  <c r="K21" i="4"/>
  <c r="K116" i="4"/>
  <c r="I383" i="4"/>
  <c r="I381" i="4"/>
  <c r="I379" i="4"/>
  <c r="I377" i="4"/>
  <c r="I375" i="4"/>
  <c r="I373" i="4"/>
  <c r="I371" i="4"/>
  <c r="I369" i="4"/>
  <c r="I367" i="4"/>
  <c r="I384" i="4"/>
  <c r="I380" i="4"/>
  <c r="I376" i="4"/>
  <c r="I372" i="4"/>
  <c r="I368" i="4"/>
  <c r="I382" i="4"/>
  <c r="I378" i="4"/>
  <c r="I374" i="4"/>
  <c r="I370" i="4"/>
  <c r="I366" i="4"/>
  <c r="J269" i="4"/>
  <c r="J267" i="4"/>
  <c r="J265" i="4"/>
  <c r="J263" i="4"/>
  <c r="J261" i="4"/>
  <c r="J259" i="4"/>
  <c r="J257" i="4"/>
  <c r="J255" i="4"/>
  <c r="J253" i="4"/>
  <c r="J270" i="4"/>
  <c r="J268" i="4"/>
  <c r="J266" i="4"/>
  <c r="J264" i="4"/>
  <c r="J262" i="4"/>
  <c r="J260" i="4"/>
  <c r="J258" i="4"/>
  <c r="J256" i="4"/>
  <c r="J254" i="4"/>
  <c r="J252" i="4"/>
  <c r="K370" i="4"/>
  <c r="K332" i="4"/>
  <c r="K313" i="4"/>
  <c r="K294" i="4"/>
  <c r="K256" i="4"/>
  <c r="K237" i="4"/>
  <c r="K199" i="4"/>
  <c r="K161" i="4"/>
  <c r="K123" i="4"/>
  <c r="K351" i="4"/>
  <c r="K275" i="4"/>
  <c r="K46" i="4"/>
  <c r="K8" i="4"/>
  <c r="K180" i="4"/>
  <c r="K65" i="4"/>
  <c r="K27" i="4"/>
  <c r="K218" i="4"/>
  <c r="K142" i="4"/>
  <c r="K104" i="4"/>
  <c r="I232" i="4"/>
  <c r="I230" i="4"/>
  <c r="I228" i="4"/>
  <c r="I226" i="4"/>
  <c r="I224" i="4"/>
  <c r="I222" i="4"/>
  <c r="I220" i="4"/>
  <c r="I218" i="4"/>
  <c r="I216" i="4"/>
  <c r="I214" i="4"/>
  <c r="I231" i="4"/>
  <c r="I227" i="4"/>
  <c r="I223" i="4"/>
  <c r="I219" i="4"/>
  <c r="I215" i="4"/>
  <c r="I229" i="4"/>
  <c r="I225" i="4"/>
  <c r="I221" i="4"/>
  <c r="I217" i="4"/>
  <c r="J194" i="4"/>
  <c r="J192" i="4"/>
  <c r="J190" i="4"/>
  <c r="J188" i="4"/>
  <c r="J186" i="4"/>
  <c r="J184" i="4"/>
  <c r="J182" i="4"/>
  <c r="J180" i="4"/>
  <c r="J178" i="4"/>
  <c r="J176" i="4"/>
  <c r="J193" i="4"/>
  <c r="J191" i="4"/>
  <c r="J189" i="4"/>
  <c r="J187" i="4"/>
  <c r="J185" i="4"/>
  <c r="J183" i="4"/>
  <c r="J181" i="4"/>
  <c r="J179" i="4"/>
  <c r="J177" i="4"/>
  <c r="I194" i="4"/>
  <c r="I192" i="4"/>
  <c r="I190" i="4"/>
  <c r="I188" i="4"/>
  <c r="I186" i="4"/>
  <c r="I184" i="4"/>
  <c r="I182" i="4"/>
  <c r="I180" i="4"/>
  <c r="I178" i="4"/>
  <c r="I176" i="4"/>
  <c r="I191" i="4"/>
  <c r="I187" i="4"/>
  <c r="I183" i="4"/>
  <c r="I179" i="4"/>
  <c r="I193" i="4"/>
  <c r="I189" i="4"/>
  <c r="I185" i="4"/>
  <c r="I181" i="4"/>
  <c r="I177" i="4"/>
  <c r="K358" i="4"/>
  <c r="K320" i="4"/>
  <c r="K377" i="4"/>
  <c r="K282" i="4"/>
  <c r="K244" i="4"/>
  <c r="K301" i="4"/>
  <c r="K339" i="4"/>
  <c r="K205" i="4"/>
  <c r="K167" i="4"/>
  <c r="K129" i="4"/>
  <c r="K263" i="4"/>
  <c r="K72" i="4"/>
  <c r="K34" i="4"/>
  <c r="K148" i="4"/>
  <c r="K91" i="4"/>
  <c r="K53" i="4"/>
  <c r="K15" i="4"/>
  <c r="K186" i="4"/>
  <c r="K110" i="4"/>
  <c r="J327" i="4"/>
  <c r="J325" i="4"/>
  <c r="J323" i="4"/>
  <c r="J321" i="4"/>
  <c r="J319" i="4"/>
  <c r="J317" i="4"/>
  <c r="J315" i="4"/>
  <c r="J313" i="4"/>
  <c r="J311" i="4"/>
  <c r="J309" i="4"/>
  <c r="J326" i="4"/>
  <c r="J324" i="4"/>
  <c r="J322" i="4"/>
  <c r="J320" i="4"/>
  <c r="J318" i="4"/>
  <c r="J316" i="4"/>
  <c r="J314" i="4"/>
  <c r="J312" i="4"/>
  <c r="J310" i="4"/>
  <c r="J232" i="4"/>
  <c r="J230" i="4"/>
  <c r="J228" i="4"/>
  <c r="J226" i="4"/>
  <c r="J224" i="4"/>
  <c r="J222" i="4"/>
  <c r="J220" i="4"/>
  <c r="J218" i="4"/>
  <c r="J216" i="4"/>
  <c r="J214" i="4"/>
  <c r="J231" i="4"/>
  <c r="J229" i="4"/>
  <c r="J227" i="4"/>
  <c r="J225" i="4"/>
  <c r="J223" i="4"/>
  <c r="J221" i="4"/>
  <c r="J219" i="4"/>
  <c r="J217" i="4"/>
  <c r="J215" i="4"/>
  <c r="K372" i="4"/>
  <c r="K334" i="4"/>
  <c r="K353" i="4"/>
  <c r="K296" i="4"/>
  <c r="K258" i="4"/>
  <c r="K277" i="4"/>
  <c r="K239" i="4"/>
  <c r="K201" i="4"/>
  <c r="K163" i="4"/>
  <c r="K105" i="4"/>
  <c r="K86" i="4"/>
  <c r="K48" i="4"/>
  <c r="K10" i="4"/>
  <c r="K220" i="4"/>
  <c r="K144" i="4"/>
  <c r="K315" i="4"/>
  <c r="K67" i="4"/>
  <c r="K29" i="4"/>
  <c r="K182" i="4"/>
  <c r="J22" i="4"/>
  <c r="J6" i="4"/>
  <c r="J20" i="4"/>
  <c r="J18" i="4"/>
  <c r="J16" i="4"/>
  <c r="J14" i="4"/>
  <c r="J12" i="4"/>
  <c r="J10" i="4"/>
  <c r="J8" i="4"/>
  <c r="J21" i="4"/>
  <c r="J17" i="4"/>
  <c r="J13" i="4"/>
  <c r="J9" i="4"/>
  <c r="J5" i="4"/>
  <c r="J23" i="4"/>
  <c r="J19" i="4"/>
  <c r="J15" i="4"/>
  <c r="J11" i="4"/>
  <c r="J7" i="4"/>
  <c r="I136" i="4"/>
  <c r="I134" i="4"/>
  <c r="I132" i="4"/>
  <c r="I130" i="4"/>
  <c r="I128" i="4"/>
  <c r="I126" i="4"/>
  <c r="I124" i="4"/>
  <c r="I122" i="4"/>
  <c r="I120" i="4"/>
  <c r="I135" i="4"/>
  <c r="I131" i="4"/>
  <c r="I127" i="4"/>
  <c r="I125" i="4"/>
  <c r="I123" i="4"/>
  <c r="I121" i="4"/>
  <c r="I119" i="4"/>
  <c r="I137" i="4"/>
  <c r="I133" i="4"/>
  <c r="I129" i="4"/>
  <c r="J345" i="4"/>
  <c r="J343" i="4"/>
  <c r="J341" i="4"/>
  <c r="J339" i="4"/>
  <c r="J337" i="4"/>
  <c r="J335" i="4"/>
  <c r="J333" i="4"/>
  <c r="J331" i="4"/>
  <c r="J329" i="4"/>
  <c r="J346" i="4"/>
  <c r="J344" i="4"/>
  <c r="J342" i="4"/>
  <c r="J340" i="4"/>
  <c r="J338" i="4"/>
  <c r="J336" i="4"/>
  <c r="J334" i="4"/>
  <c r="J332" i="4"/>
  <c r="J330" i="4"/>
  <c r="J328" i="4"/>
  <c r="I174" i="4"/>
  <c r="I172" i="4"/>
  <c r="I170" i="4"/>
  <c r="I168" i="4"/>
  <c r="I166" i="4"/>
  <c r="I164" i="4"/>
  <c r="I162" i="4"/>
  <c r="I160" i="4"/>
  <c r="I158" i="4"/>
  <c r="I175" i="4"/>
  <c r="I171" i="4"/>
  <c r="I167" i="4"/>
  <c r="I163" i="4"/>
  <c r="I159" i="4"/>
  <c r="I173" i="4"/>
  <c r="I169" i="4"/>
  <c r="I165" i="4"/>
  <c r="I161" i="4"/>
  <c r="I157" i="4"/>
  <c r="K378" i="4"/>
  <c r="K340" i="4"/>
  <c r="K302" i="4"/>
  <c r="K321" i="4"/>
  <c r="K264" i="4"/>
  <c r="K359" i="4"/>
  <c r="K225" i="4"/>
  <c r="K187" i="4"/>
  <c r="K149" i="4"/>
  <c r="K111" i="4"/>
  <c r="K283" i="4"/>
  <c r="K92" i="4"/>
  <c r="K54" i="4"/>
  <c r="K16" i="4"/>
  <c r="K168" i="4"/>
  <c r="K206" i="4"/>
  <c r="K73" i="4"/>
  <c r="K35" i="4"/>
  <c r="K130" i="4"/>
  <c r="J289" i="4"/>
  <c r="J287" i="4"/>
  <c r="J285" i="4"/>
  <c r="J283" i="4"/>
  <c r="J281" i="4"/>
  <c r="J279" i="4"/>
  <c r="J277" i="4"/>
  <c r="J275" i="4"/>
  <c r="J273" i="4"/>
  <c r="J271" i="4"/>
  <c r="J288" i="4"/>
  <c r="J286" i="4"/>
  <c r="J284" i="4"/>
  <c r="J282" i="4"/>
  <c r="J280" i="4"/>
  <c r="J278" i="4"/>
  <c r="J276" i="4"/>
  <c r="J274" i="4"/>
  <c r="J272" i="4"/>
  <c r="I23" i="4"/>
  <c r="I21" i="4"/>
  <c r="I19" i="4"/>
  <c r="I17" i="4"/>
  <c r="I15" i="4"/>
  <c r="I13" i="4"/>
  <c r="I11" i="4"/>
  <c r="I9" i="4"/>
  <c r="I7" i="4"/>
  <c r="I5" i="4"/>
  <c r="I22" i="4"/>
  <c r="I20" i="4"/>
  <c r="I18" i="4"/>
  <c r="I16" i="4"/>
  <c r="I14" i="4"/>
  <c r="I12" i="4"/>
  <c r="I10" i="4"/>
  <c r="I8" i="4"/>
  <c r="I6" i="4"/>
  <c r="K354" i="4"/>
  <c r="K316" i="4"/>
  <c r="K373" i="4"/>
  <c r="K278" i="4"/>
  <c r="K297" i="4"/>
  <c r="K240" i="4"/>
  <c r="K221" i="4"/>
  <c r="K183" i="4"/>
  <c r="K125" i="4"/>
  <c r="K335" i="4"/>
  <c r="K259" i="4"/>
  <c r="K68" i="4"/>
  <c r="K30" i="4"/>
  <c r="K164" i="4"/>
  <c r="K87" i="4"/>
  <c r="K49" i="4"/>
  <c r="K11" i="4"/>
  <c r="K202" i="4"/>
  <c r="K106" i="4"/>
  <c r="I79" i="4"/>
  <c r="I77" i="4"/>
  <c r="I75" i="4"/>
  <c r="I73" i="4"/>
  <c r="I71" i="4"/>
  <c r="I69" i="4"/>
  <c r="I67" i="4"/>
  <c r="I65" i="4"/>
  <c r="I63" i="4"/>
  <c r="I80" i="4"/>
  <c r="I78" i="4"/>
  <c r="I76" i="4"/>
  <c r="I74" i="4"/>
  <c r="I72" i="4"/>
  <c r="I70" i="4"/>
  <c r="I68" i="4"/>
  <c r="I66" i="4"/>
  <c r="I64" i="4"/>
  <c r="I62" i="4"/>
  <c r="L352" i="4"/>
  <c r="L314" i="4"/>
  <c r="L371" i="4"/>
  <c r="L333" i="4"/>
  <c r="L276" i="4"/>
  <c r="L238" i="4"/>
  <c r="L295" i="4"/>
  <c r="L257" i="4"/>
  <c r="L219" i="4"/>
  <c r="L181" i="4"/>
  <c r="L143" i="4"/>
  <c r="L200" i="4"/>
  <c r="L162" i="4"/>
  <c r="L124" i="4"/>
  <c r="L85" i="4"/>
  <c r="L47" i="4"/>
  <c r="L9" i="4"/>
  <c r="L66" i="4"/>
  <c r="L28" i="4"/>
  <c r="I156" i="4"/>
  <c r="I154" i="4"/>
  <c r="I152" i="4"/>
  <c r="I150" i="4"/>
  <c r="I148" i="4"/>
  <c r="I146" i="4"/>
  <c r="I144" i="4"/>
  <c r="I142" i="4"/>
  <c r="I140" i="4"/>
  <c r="I138" i="4"/>
  <c r="I155" i="4"/>
  <c r="I151" i="4"/>
  <c r="I147" i="4"/>
  <c r="I143" i="4"/>
  <c r="I139" i="4"/>
  <c r="I153" i="4"/>
  <c r="I149" i="4"/>
  <c r="I145" i="4"/>
  <c r="I141" i="4"/>
  <c r="I289" i="4"/>
  <c r="I287" i="4"/>
  <c r="I285" i="4"/>
  <c r="I283" i="4"/>
  <c r="I281" i="4"/>
  <c r="I279" i="4"/>
  <c r="I277" i="4"/>
  <c r="I275" i="4"/>
  <c r="I273" i="4"/>
  <c r="I271" i="4"/>
  <c r="I286" i="4"/>
  <c r="I282" i="4"/>
  <c r="I278" i="4"/>
  <c r="I274" i="4"/>
  <c r="I288" i="4"/>
  <c r="I272" i="4"/>
  <c r="I276" i="4"/>
  <c r="I284" i="4"/>
  <c r="I280" i="4"/>
  <c r="K362" i="4"/>
  <c r="K324" i="4"/>
  <c r="K381" i="4"/>
  <c r="K266" i="4"/>
  <c r="K343" i="4"/>
  <c r="K285" i="4"/>
  <c r="K209" i="4"/>
  <c r="K171" i="4"/>
  <c r="K133" i="4"/>
  <c r="K95" i="4"/>
  <c r="K247" i="4"/>
  <c r="K76" i="4"/>
  <c r="K38" i="4"/>
  <c r="K228" i="4"/>
  <c r="K152" i="4"/>
  <c r="K57" i="4"/>
  <c r="K19" i="4"/>
  <c r="K190" i="4"/>
  <c r="K114" i="4"/>
  <c r="I61" i="4"/>
  <c r="I59" i="4"/>
  <c r="I57" i="4"/>
  <c r="I55" i="4"/>
  <c r="I53" i="4"/>
  <c r="I51" i="4"/>
  <c r="I49" i="4"/>
  <c r="I47" i="4"/>
  <c r="I45" i="4"/>
  <c r="I43" i="4"/>
  <c r="I60" i="4"/>
  <c r="I58" i="4"/>
  <c r="I56" i="4"/>
  <c r="I54" i="4"/>
  <c r="I52" i="4"/>
  <c r="I50" i="4"/>
  <c r="I48" i="4"/>
  <c r="I46" i="4"/>
  <c r="I44" i="4"/>
  <c r="L382" i="4"/>
  <c r="L344" i="4"/>
  <c r="L363" i="4"/>
  <c r="L305" i="4"/>
  <c r="L286" i="4"/>
  <c r="L248" i="4"/>
  <c r="L267" i="4"/>
  <c r="L229" i="4"/>
  <c r="L191" i="4"/>
  <c r="L153" i="4"/>
  <c r="L210" i="4"/>
  <c r="L172" i="4"/>
  <c r="L134" i="4"/>
  <c r="L96" i="4"/>
  <c r="L77" i="4"/>
  <c r="L39" i="4"/>
  <c r="L58" i="4"/>
  <c r="L115" i="4"/>
  <c r="L20" i="4"/>
  <c r="K352" i="4"/>
  <c r="K314" i="4"/>
  <c r="K333" i="4"/>
  <c r="K276" i="4"/>
  <c r="K257" i="4"/>
  <c r="K238" i="4"/>
  <c r="K371" i="4"/>
  <c r="K219" i="4"/>
  <c r="K181" i="4"/>
  <c r="K143" i="4"/>
  <c r="K295" i="4"/>
  <c r="K66" i="4"/>
  <c r="K28" i="4"/>
  <c r="K200" i="4"/>
  <c r="K85" i="4"/>
  <c r="K47" i="4"/>
  <c r="K9" i="4"/>
  <c r="K162" i="4"/>
  <c r="K124" i="4"/>
  <c r="J251" i="4"/>
  <c r="J249" i="4"/>
  <c r="J247" i="4"/>
  <c r="J245" i="4"/>
  <c r="J243" i="4"/>
  <c r="J241" i="4"/>
  <c r="J239" i="4"/>
  <c r="J250" i="4"/>
  <c r="J248" i="4"/>
  <c r="J246" i="4"/>
  <c r="J244" i="4"/>
  <c r="J242" i="4"/>
  <c r="J240" i="4"/>
  <c r="J238" i="4"/>
  <c r="J236" i="4"/>
  <c r="J234" i="4"/>
  <c r="J237" i="4"/>
  <c r="J235" i="4"/>
  <c r="J233" i="4"/>
  <c r="L362" i="4"/>
  <c r="L324" i="4"/>
  <c r="L381" i="4"/>
  <c r="L343" i="4"/>
  <c r="L266" i="4"/>
  <c r="L285" i="4"/>
  <c r="L247" i="4"/>
  <c r="L209" i="4"/>
  <c r="L171" i="4"/>
  <c r="L133" i="4"/>
  <c r="L228" i="4"/>
  <c r="L190" i="4"/>
  <c r="L152" i="4"/>
  <c r="L114" i="4"/>
  <c r="L57" i="4"/>
  <c r="L19" i="4"/>
  <c r="L38" i="4"/>
  <c r="L95" i="4"/>
  <c r="L76" i="4"/>
  <c r="N25" i="4"/>
  <c r="N330" i="4"/>
  <c r="N83" i="4"/>
  <c r="M296" i="4"/>
  <c r="N334" i="4"/>
  <c r="N159" i="4"/>
  <c r="N277" i="4"/>
  <c r="M220" i="4"/>
  <c r="N169" i="4"/>
  <c r="N76" i="4"/>
  <c r="N93" i="4"/>
  <c r="N309" i="4"/>
  <c r="N103" i="4"/>
  <c r="N371" i="4"/>
  <c r="M81" i="4"/>
  <c r="M228" i="4"/>
  <c r="N199" i="4"/>
  <c r="N184" i="4"/>
  <c r="N302" i="4"/>
  <c r="M373" i="4"/>
  <c r="N213" i="4"/>
  <c r="N283" i="4"/>
  <c r="N35" i="4"/>
  <c r="M178" i="4"/>
  <c r="N137" i="4"/>
  <c r="N111" i="4"/>
  <c r="N243" i="4"/>
  <c r="M361" i="4"/>
  <c r="N158" i="4"/>
  <c r="N328" i="4"/>
  <c r="N82" i="4"/>
  <c r="N176" i="4"/>
  <c r="N128" i="4"/>
  <c r="M107" i="4"/>
  <c r="M65" i="4"/>
  <c r="M128" i="4"/>
  <c r="N91" i="4"/>
  <c r="N51" i="4"/>
  <c r="N314" i="4"/>
  <c r="M167" i="4"/>
  <c r="N368" i="4"/>
  <c r="N352" i="4"/>
  <c r="N238" i="4"/>
  <c r="M282" i="4"/>
  <c r="N29" i="4"/>
  <c r="M321" i="4"/>
  <c r="N284" i="4"/>
  <c r="N234" i="4"/>
  <c r="M15" i="4"/>
  <c r="N270" i="4"/>
  <c r="N194" i="4"/>
  <c r="N149" i="4"/>
  <c r="N288" i="4"/>
  <c r="M140" i="4"/>
  <c r="N280" i="4"/>
  <c r="M225" i="4"/>
  <c r="N12" i="4"/>
  <c r="M170" i="4"/>
  <c r="M267" i="4"/>
  <c r="M291" i="4"/>
  <c r="M253" i="4"/>
  <c r="M108" i="4"/>
  <c r="M233" i="4"/>
  <c r="M79" i="4"/>
  <c r="N354" i="4"/>
  <c r="M118" i="4"/>
  <c r="N278" i="4"/>
  <c r="M42" i="4"/>
  <c r="M199" i="4"/>
  <c r="M123" i="4"/>
  <c r="M29" i="4"/>
  <c r="N18" i="4"/>
  <c r="N81" i="4"/>
  <c r="M41" i="4"/>
  <c r="N153" i="4"/>
  <c r="M298" i="4"/>
  <c r="N77" i="4"/>
  <c r="M222" i="4"/>
  <c r="M258" i="4"/>
  <c r="M86" i="4"/>
  <c r="M248" i="4"/>
  <c r="M95" i="4"/>
  <c r="N162" i="4"/>
  <c r="M273" i="4"/>
  <c r="N382" i="4"/>
  <c r="M197" i="4"/>
  <c r="M218" i="4"/>
  <c r="N347" i="4"/>
  <c r="N335" i="4"/>
  <c r="N210" i="4"/>
  <c r="M280" i="4"/>
  <c r="N147" i="4"/>
  <c r="N350" i="4"/>
  <c r="N216" i="4"/>
  <c r="M74" i="4"/>
  <c r="M179" i="4"/>
  <c r="M212" i="4"/>
  <c r="M275" i="4"/>
  <c r="M252" i="4"/>
  <c r="M367" i="4"/>
  <c r="M139" i="4"/>
  <c r="M211" i="4"/>
  <c r="N134" i="4"/>
  <c r="N58" i="4"/>
  <c r="M72" i="4"/>
  <c r="M83" i="4"/>
  <c r="M209" i="4"/>
  <c r="M162" i="4"/>
  <c r="M372" i="4"/>
  <c r="N46" i="4"/>
  <c r="N161" i="4"/>
  <c r="M295" i="4"/>
  <c r="M340" i="4"/>
  <c r="N157" i="4"/>
  <c r="N124" i="4"/>
  <c r="N123" i="4"/>
  <c r="N130" i="4"/>
  <c r="N52" i="4"/>
  <c r="N329" i="4"/>
  <c r="M47" i="4"/>
  <c r="N273" i="4"/>
  <c r="M310" i="4"/>
  <c r="N48" i="4"/>
  <c r="N303" i="4"/>
  <c r="N116" i="4"/>
  <c r="M125" i="4"/>
  <c r="M200" i="4"/>
  <c r="N312" i="4"/>
  <c r="N375" i="4"/>
  <c r="N261" i="4"/>
  <c r="M135" i="4"/>
  <c r="N236" i="4"/>
  <c r="N299" i="4"/>
  <c r="N146" i="4"/>
  <c r="M78" i="4"/>
  <c r="N190" i="4"/>
  <c r="M326" i="4"/>
  <c r="N114" i="4"/>
  <c r="M307" i="4"/>
  <c r="N108" i="4"/>
  <c r="M294" i="4"/>
  <c r="M230" i="4"/>
  <c r="N15" i="4"/>
  <c r="N298" i="4"/>
  <c r="M339" i="4"/>
  <c r="M148" i="4"/>
  <c r="N332" i="4"/>
  <c r="N109" i="4"/>
  <c r="N209" i="4"/>
  <c r="N95" i="4"/>
  <c r="M353" i="4"/>
  <c r="N33" i="4"/>
  <c r="N133" i="4"/>
  <c r="N19" i="4"/>
  <c r="N180" i="4"/>
  <c r="N195" i="4"/>
  <c r="M48" i="4"/>
  <c r="N43" i="4"/>
  <c r="N364" i="4"/>
  <c r="M241" i="4"/>
  <c r="M240" i="4"/>
  <c r="M132" i="4"/>
  <c r="N186" i="4"/>
  <c r="N101" i="4"/>
  <c r="N311" i="4"/>
  <c r="M60" i="4"/>
  <c r="N110" i="4"/>
  <c r="N34" i="4"/>
  <c r="N140" i="4"/>
  <c r="M318" i="4"/>
  <c r="N86" i="4"/>
  <c r="N131" i="4"/>
  <c r="N245" i="4"/>
  <c r="N219" i="4"/>
  <c r="N119" i="4"/>
  <c r="M84" i="4"/>
  <c r="N221" i="4"/>
  <c r="N68" i="4"/>
  <c r="N244" i="4"/>
  <c r="N60" i="4"/>
  <c r="N21" i="4"/>
  <c r="N339" i="4"/>
  <c r="M37" i="4"/>
  <c r="M265" i="4"/>
  <c r="M223" i="4"/>
  <c r="N181" i="4"/>
  <c r="N28" i="4"/>
  <c r="N44" i="4"/>
  <c r="M299" i="4"/>
  <c r="M92" i="4"/>
  <c r="N287" i="4"/>
  <c r="N240" i="4"/>
  <c r="N383" i="4"/>
  <c r="N87" i="4"/>
  <c r="N99" i="4"/>
  <c r="N331" i="4"/>
  <c r="N182" i="4"/>
  <c r="M232" i="4"/>
  <c r="N227" i="4"/>
  <c r="N214" i="4"/>
  <c r="N144" i="4"/>
  <c r="N39" i="4"/>
  <c r="N67" i="4"/>
  <c r="N228" i="4"/>
  <c r="N348" i="4"/>
  <c r="N196" i="4"/>
  <c r="N49" i="4"/>
  <c r="M63" i="4"/>
  <c r="N31" i="4"/>
  <c r="N344" i="4"/>
  <c r="N321" i="4"/>
  <c r="N248" i="4"/>
  <c r="N204" i="4"/>
  <c r="N333" i="4"/>
  <c r="M27" i="4"/>
  <c r="N259" i="4"/>
  <c r="N290" i="4"/>
  <c r="M210" i="4"/>
  <c r="N192" i="4"/>
  <c r="N121" i="4"/>
  <c r="N346" i="4"/>
  <c r="M368" i="4"/>
  <c r="N102" i="4"/>
  <c r="N251" i="4"/>
  <c r="M168" i="4"/>
  <c r="N340" i="4"/>
  <c r="N264" i="4"/>
  <c r="N64" i="4"/>
  <c r="M88" i="4"/>
  <c r="M342" i="4"/>
  <c r="M208" i="4"/>
  <c r="M130" i="4"/>
  <c r="N63" i="4"/>
  <c r="M256" i="4"/>
  <c r="N129" i="4"/>
  <c r="M297" i="4"/>
  <c r="N379" i="4"/>
  <c r="M172" i="4"/>
  <c r="N69" i="4"/>
  <c r="N98" i="4"/>
  <c r="M293" i="4"/>
  <c r="N17" i="4"/>
  <c r="N378" i="4"/>
  <c r="M221" i="4"/>
  <c r="M384" i="4"/>
  <c r="N369" i="4"/>
  <c r="N349" i="4"/>
  <c r="N246" i="4"/>
  <c r="N218" i="4"/>
  <c r="N142" i="4"/>
  <c r="N72" i="4"/>
  <c r="M285" i="4"/>
  <c r="M67" i="4"/>
  <c r="N165" i="4"/>
  <c r="N152" i="4"/>
  <c r="M243" i="4"/>
  <c r="N367" i="4"/>
  <c r="N215" i="4"/>
  <c r="N96" i="4"/>
  <c r="N45" i="4"/>
  <c r="N26" i="4"/>
  <c r="N54" i="4"/>
  <c r="M244" i="4"/>
  <c r="M268" i="4"/>
  <c r="M100" i="4"/>
  <c r="N337" i="4"/>
  <c r="M93" i="4"/>
  <c r="N285" i="4"/>
  <c r="M56" i="4"/>
  <c r="M82" i="4"/>
  <c r="M215" i="4"/>
  <c r="N37" i="4"/>
  <c r="M137" i="4"/>
  <c r="M245" i="4"/>
  <c r="N310" i="4"/>
  <c r="M203" i="4"/>
  <c r="M40" i="4"/>
  <c r="M10" i="4"/>
  <c r="N150" i="4"/>
  <c r="N253" i="4"/>
  <c r="N237" i="4"/>
  <c r="N16" i="4"/>
  <c r="M331" i="4"/>
  <c r="N13" i="4"/>
  <c r="M259" i="4"/>
  <c r="M75" i="4"/>
  <c r="N242" i="4"/>
  <c r="M370" i="4"/>
  <c r="M80" i="4"/>
  <c r="M177" i="4"/>
  <c r="M169" i="4"/>
  <c r="N336" i="4"/>
  <c r="N301" i="4"/>
  <c r="N127" i="4"/>
  <c r="M250" i="4"/>
  <c r="M316" i="4"/>
  <c r="M300" i="4"/>
  <c r="N125" i="4"/>
  <c r="N172" i="4"/>
  <c r="M149" i="4"/>
  <c r="M191" i="4"/>
  <c r="N381" i="4"/>
  <c r="M304" i="4"/>
  <c r="M54" i="4"/>
  <c r="M89" i="4"/>
  <c r="M165" i="4"/>
  <c r="M317" i="4"/>
  <c r="M369" i="4"/>
  <c r="N263" i="4"/>
  <c r="N226" i="4"/>
  <c r="M330" i="4"/>
  <c r="M111" i="4"/>
  <c r="M144" i="4"/>
  <c r="N11" i="4"/>
  <c r="N118" i="4"/>
  <c r="N22" i="4"/>
  <c r="M182" i="4"/>
  <c r="M355" i="4"/>
  <c r="M279" i="4"/>
  <c r="N313" i="4"/>
  <c r="M289" i="4"/>
  <c r="M216" i="4"/>
  <c r="M116" i="4"/>
  <c r="M59" i="4"/>
  <c r="N84" i="4"/>
  <c r="M26" i="4"/>
  <c r="M22" i="4"/>
  <c r="M375" i="4"/>
  <c r="M142" i="4"/>
  <c r="M204" i="4"/>
  <c r="N318" i="4"/>
  <c r="N164" i="4"/>
  <c r="M17" i="4"/>
  <c r="N322" i="4"/>
  <c r="M371" i="4"/>
  <c r="N250" i="4"/>
  <c r="N174" i="4"/>
  <c r="N197" i="4"/>
  <c r="M13" i="4"/>
  <c r="M97" i="4"/>
  <c r="M313" i="4"/>
  <c r="M68" i="4"/>
  <c r="M11" i="4"/>
  <c r="M205" i="4"/>
  <c r="N42" i="4"/>
  <c r="M147" i="4"/>
  <c r="N281" i="4"/>
  <c r="M101" i="4"/>
  <c r="N107" i="4"/>
  <c r="N269" i="4"/>
  <c r="M229" i="4"/>
  <c r="M350" i="4"/>
  <c r="N373" i="4"/>
  <c r="N372" i="4"/>
  <c r="M224" i="4"/>
  <c r="M28" i="4"/>
  <c r="M119" i="4"/>
  <c r="M70" i="4"/>
  <c r="M102" i="4"/>
  <c r="M87" i="4"/>
  <c r="N27" i="4"/>
  <c r="M163" i="4"/>
  <c r="M324" i="4"/>
  <c r="N71" i="4"/>
  <c r="M9" i="4"/>
  <c r="N304" i="4"/>
  <c r="N384" i="4"/>
  <c r="M73" i="4"/>
  <c r="M103" i="4"/>
  <c r="N47" i="4"/>
  <c r="M91" i="4"/>
  <c r="M129" i="4"/>
  <c r="M109" i="4"/>
  <c r="M301" i="4"/>
  <c r="N136" i="4"/>
  <c r="N370" i="4"/>
  <c r="M257" i="4"/>
  <c r="M158" i="4"/>
  <c r="M90" i="4"/>
  <c r="N341" i="4"/>
  <c r="M382" i="4"/>
  <c r="N89" i="4"/>
  <c r="M104" i="4"/>
  <c r="N275" i="4"/>
  <c r="M183" i="4"/>
  <c r="M341" i="4"/>
  <c r="M121" i="4"/>
  <c r="N188" i="4"/>
  <c r="M131" i="4"/>
  <c r="M270" i="4"/>
  <c r="N53" i="4"/>
  <c r="M143" i="4"/>
  <c r="M71" i="4"/>
  <c r="M357" i="4"/>
  <c r="M187" i="4"/>
  <c r="M174" i="4"/>
  <c r="N376" i="4"/>
  <c r="N300" i="4"/>
  <c r="N255" i="4"/>
  <c r="N360" i="4"/>
  <c r="N65" i="4"/>
  <c r="N380" i="4"/>
  <c r="N208" i="4"/>
  <c r="N120" i="4"/>
  <c r="N356" i="4"/>
  <c r="N113" i="4"/>
  <c r="N308" i="4"/>
  <c r="N295" i="4"/>
  <c r="M288" i="4"/>
  <c r="N62" i="4"/>
  <c r="N40" i="4"/>
  <c r="N297" i="4"/>
  <c r="M69" i="4"/>
  <c r="M206" i="4"/>
  <c r="M272" i="4"/>
  <c r="N73" i="4"/>
  <c r="N50" i="4"/>
  <c r="M161" i="4"/>
  <c r="N254" i="4"/>
  <c r="N305" i="4"/>
  <c r="M329" i="4"/>
  <c r="N66" i="4"/>
  <c r="M186" i="4"/>
  <c r="N59" i="4"/>
  <c r="N377" i="4"/>
  <c r="N296" i="4"/>
  <c r="N325" i="4"/>
  <c r="M39" i="4"/>
  <c r="M96" i="4"/>
  <c r="M284" i="4"/>
  <c r="M346" i="4"/>
  <c r="N317" i="4"/>
  <c r="N166" i="4"/>
  <c r="M338" i="4"/>
  <c r="M364" i="4"/>
  <c r="N260" i="4"/>
  <c r="M242" i="4"/>
  <c r="M345" i="4"/>
  <c r="N5" i="4"/>
  <c r="M237" i="4"/>
  <c r="M175" i="4"/>
  <c r="N74" i="4"/>
  <c r="N342" i="4"/>
  <c r="M327" i="4"/>
  <c r="M166" i="4"/>
  <c r="M112" i="4"/>
  <c r="M34" i="4"/>
  <c r="M194" i="4"/>
  <c r="N32" i="4"/>
  <c r="M360" i="4"/>
  <c r="M344" i="4"/>
  <c r="M374" i="4"/>
  <c r="N351" i="4"/>
  <c r="M303" i="4"/>
  <c r="N225" i="4"/>
  <c r="M154" i="4"/>
  <c r="N319" i="4"/>
  <c r="N126" i="4"/>
  <c r="N363" i="4"/>
  <c r="N23" i="4"/>
  <c r="N141" i="4"/>
  <c r="M287" i="4"/>
  <c r="M49" i="4"/>
  <c r="N291" i="4"/>
  <c r="N135" i="4"/>
  <c r="N143" i="4"/>
  <c r="M106" i="4"/>
  <c r="M50" i="4"/>
  <c r="M25" i="4"/>
  <c r="M76" i="4"/>
  <c r="N365" i="4"/>
  <c r="M105" i="4"/>
  <c r="M277" i="4"/>
  <c r="M192" i="4"/>
  <c r="M217" i="4"/>
  <c r="M156" i="4"/>
  <c r="N8" i="4"/>
  <c r="M352" i="4"/>
  <c r="M145" i="4"/>
  <c r="M159" i="4"/>
  <c r="M189" i="4"/>
  <c r="N97" i="4"/>
  <c r="N316" i="4"/>
  <c r="M231" i="4"/>
  <c r="N249" i="4"/>
  <c r="N276" i="4"/>
  <c r="M115" i="4"/>
  <c r="M198" i="4"/>
  <c r="M302" i="4"/>
  <c r="M134" i="4"/>
  <c r="M266" i="4"/>
  <c r="M283" i="4"/>
  <c r="M337" i="4"/>
  <c r="M236" i="4"/>
  <c r="N7" i="4"/>
  <c r="M160" i="4"/>
  <c r="M164" i="4"/>
  <c r="N256" i="4"/>
  <c r="N324" i="4"/>
  <c r="M262" i="4"/>
  <c r="N57" i="4"/>
  <c r="N187" i="4"/>
  <c r="N88" i="4"/>
  <c r="M308" i="4"/>
  <c r="M366" i="4"/>
  <c r="N193" i="4"/>
  <c r="N359" i="4"/>
  <c r="N223" i="4"/>
  <c r="N211" i="4"/>
  <c r="M98" i="4"/>
  <c r="N235" i="4"/>
  <c r="M193" i="4"/>
  <c r="M181" i="4"/>
  <c r="M33" i="4"/>
  <c r="M24" i="4"/>
  <c r="M120" i="4"/>
  <c r="M44" i="4"/>
  <c r="N173" i="4"/>
  <c r="M38" i="4"/>
  <c r="N212" i="4"/>
  <c r="N132" i="4"/>
  <c r="N327" i="4"/>
  <c r="N217" i="4"/>
  <c r="M188" i="4"/>
  <c r="N232" i="4"/>
  <c r="N80" i="4"/>
  <c r="N279" i="4"/>
  <c r="M32" i="4"/>
  <c r="N30" i="4"/>
  <c r="M251" i="4"/>
  <c r="M322" i="4"/>
  <c r="N306" i="4"/>
  <c r="N104" i="4"/>
  <c r="N294" i="4"/>
  <c r="N20" i="4"/>
  <c r="M348" i="4"/>
  <c r="M254" i="4"/>
  <c r="M171" i="4"/>
  <c r="M196" i="4"/>
  <c r="M235" i="4"/>
  <c r="M94" i="4"/>
  <c r="M110" i="4"/>
  <c r="N361" i="4"/>
  <c r="N205" i="4"/>
  <c r="M51" i="4"/>
  <c r="M323" i="4"/>
  <c r="M30" i="4"/>
  <c r="N362" i="4"/>
  <c r="N262" i="4"/>
  <c r="N85" i="4"/>
  <c r="N94" i="4"/>
  <c r="M185" i="4"/>
  <c r="M213" i="4"/>
  <c r="M356" i="4"/>
  <c r="M214" i="4"/>
  <c r="N168" i="4"/>
  <c r="M153" i="4"/>
  <c r="M239" i="4"/>
  <c r="N156" i="4"/>
  <c r="M5" i="4"/>
  <c r="M362" i="4"/>
  <c r="N191" i="4"/>
  <c r="N268" i="4"/>
  <c r="M315" i="4"/>
  <c r="N265" i="4"/>
  <c r="M43" i="4"/>
  <c r="N178" i="4"/>
  <c r="M141" i="4"/>
  <c r="M146" i="4"/>
  <c r="M157" i="4"/>
  <c r="M45" i="4"/>
  <c r="M14" i="4"/>
  <c r="M249" i="4"/>
  <c r="M58" i="4"/>
  <c r="M99" i="4"/>
  <c r="M347" i="4"/>
  <c r="N56" i="4"/>
  <c r="M255" i="4"/>
  <c r="M278" i="4"/>
  <c r="M77" i="4"/>
  <c r="M246" i="4"/>
  <c r="N154" i="4"/>
  <c r="N9" i="4"/>
  <c r="M113" i="4"/>
  <c r="M124" i="4"/>
  <c r="M62" i="4"/>
  <c r="N122" i="4"/>
  <c r="M264" i="4"/>
  <c r="M136" i="4"/>
  <c r="M286" i="4"/>
  <c r="M61" i="4"/>
  <c r="M36" i="4"/>
  <c r="M349" i="4"/>
  <c r="N14" i="4"/>
  <c r="M276" i="4"/>
  <c r="M18" i="4"/>
  <c r="M320" i="4"/>
  <c r="N357" i="4"/>
  <c r="M150" i="4"/>
  <c r="M234" i="4"/>
  <c r="M180" i="4"/>
  <c r="N272" i="4"/>
  <c r="N220" i="4"/>
  <c r="M376" i="4"/>
  <c r="M354" i="4"/>
  <c r="N145" i="4"/>
  <c r="N307" i="4"/>
  <c r="M138" i="4"/>
  <c r="N75" i="4"/>
  <c r="N175" i="4"/>
  <c r="M292" i="4"/>
  <c r="M7" i="4"/>
  <c r="N198" i="4"/>
  <c r="N189" i="4"/>
  <c r="N266" i="4"/>
  <c r="M184" i="4"/>
  <c r="N353" i="4"/>
  <c r="N200" i="4"/>
  <c r="N271" i="4"/>
  <c r="N106" i="4"/>
  <c r="M378" i="4"/>
  <c r="M335" i="4"/>
  <c r="N79" i="4"/>
  <c r="N183" i="4"/>
  <c r="N10" i="4"/>
  <c r="M6" i="4"/>
  <c r="N239" i="4"/>
  <c r="N203" i="4"/>
  <c r="N323" i="4"/>
  <c r="M12" i="4"/>
  <c r="M227" i="4"/>
  <c r="N171" i="4"/>
  <c r="N252" i="4"/>
  <c r="M263" i="4"/>
  <c r="M8" i="4"/>
  <c r="M114" i="4"/>
  <c r="N206" i="4"/>
  <c r="M261" i="4"/>
  <c r="N38" i="4"/>
  <c r="M314" i="4"/>
  <c r="N338" i="4"/>
  <c r="M363" i="4"/>
  <c r="M260" i="4"/>
  <c r="N233" i="4"/>
  <c r="M155" i="4"/>
  <c r="M383" i="4"/>
  <c r="M35" i="4"/>
  <c r="N105" i="4"/>
  <c r="M53" i="4"/>
  <c r="N207" i="4"/>
  <c r="N274" i="4"/>
  <c r="N117" i="4"/>
  <c r="N41" i="4"/>
  <c r="N230" i="4"/>
  <c r="N163" i="4"/>
  <c r="N320" i="4"/>
  <c r="N231" i="4"/>
  <c r="N155" i="4"/>
  <c r="N293" i="4"/>
  <c r="N78" i="4"/>
  <c r="N112" i="4"/>
  <c r="N36" i="4"/>
  <c r="N355" i="4"/>
  <c r="M201" i="4"/>
  <c r="N151" i="4"/>
  <c r="M377" i="4"/>
  <c r="N267" i="4"/>
  <c r="N6" i="4"/>
  <c r="M305" i="4"/>
  <c r="N345" i="4"/>
  <c r="M312" i="4"/>
  <c r="N247" i="4"/>
  <c r="M219" i="4"/>
  <c r="N289" i="4"/>
  <c r="N315" i="4"/>
  <c r="M16" i="4"/>
  <c r="M334" i="4"/>
  <c r="N222" i="4"/>
  <c r="M126" i="4"/>
  <c r="M20" i="4"/>
  <c r="M19" i="4"/>
  <c r="M325" i="4"/>
  <c r="M290" i="4"/>
  <c r="N167" i="4"/>
  <c r="M269" i="4"/>
  <c r="N90" i="4"/>
  <c r="N170" i="4"/>
  <c r="N326" i="4"/>
  <c r="N24" i="4"/>
  <c r="N202" i="4"/>
  <c r="N241" i="4"/>
  <c r="N92" i="4"/>
  <c r="N177" i="4"/>
  <c r="M226" i="4"/>
  <c r="N224" i="4"/>
  <c r="M332" i="4"/>
  <c r="N358" i="4"/>
  <c r="N286" i="4"/>
  <c r="M127" i="4"/>
  <c r="N201" i="4"/>
  <c r="M133" i="4"/>
  <c r="N139" i="4"/>
  <c r="N179" i="4"/>
  <c r="M238" i="4"/>
  <c r="M64" i="4"/>
  <c r="M381" i="4"/>
  <c r="N343" i="4"/>
  <c r="M379" i="4"/>
  <c r="M365" i="4"/>
  <c r="N138" i="4"/>
  <c r="M359" i="4"/>
  <c r="M328" i="4"/>
  <c r="M190" i="4"/>
  <c r="M271" i="4"/>
  <c r="M173" i="4"/>
  <c r="N148" i="4"/>
  <c r="M274" i="4"/>
  <c r="M351" i="4"/>
  <c r="M207" i="4"/>
  <c r="N61" i="4"/>
  <c r="M117" i="4"/>
  <c r="N115" i="4"/>
  <c r="N257" i="4"/>
  <c r="N366" i="4"/>
  <c r="M306" i="4"/>
  <c r="M336" i="4"/>
  <c r="M195" i="4"/>
  <c r="M46" i="4"/>
  <c r="M21" i="4"/>
  <c r="M152" i="4"/>
  <c r="M176" i="4"/>
  <c r="M309" i="4"/>
  <c r="M380" i="4"/>
  <c r="M31" i="4"/>
  <c r="M23" i="4"/>
  <c r="M151" i="4"/>
  <c r="M55" i="4"/>
  <c r="N55" i="4"/>
  <c r="M202" i="4"/>
  <c r="M247" i="4"/>
  <c r="N160" i="4"/>
  <c r="M358" i="4"/>
  <c r="M122" i="4"/>
  <c r="M319" i="4"/>
  <c r="N282" i="4"/>
  <c r="N292" i="4"/>
  <c r="M52" i="4"/>
  <c r="M311" i="4"/>
  <c r="M66" i="4"/>
  <c r="N185" i="4"/>
  <c r="N374" i="4"/>
  <c r="N258" i="4"/>
  <c r="N70" i="4"/>
  <c r="M343" i="4"/>
  <c r="M57" i="4"/>
  <c r="N229" i="4"/>
  <c r="M85" i="4"/>
  <c r="N100" i="4"/>
  <c r="M281" i="4"/>
  <c r="M333" i="4"/>
  <c r="O333" i="4" l="1"/>
  <c r="D332" i="5" s="1"/>
  <c r="O281" i="4"/>
  <c r="D280" i="5" s="1"/>
  <c r="O85" i="4"/>
  <c r="D84" i="5" s="1"/>
  <c r="O57" i="4"/>
  <c r="D56" i="5" s="1"/>
  <c r="O343" i="4"/>
  <c r="D342" i="5" s="1"/>
  <c r="O66" i="4"/>
  <c r="D65" i="5" s="1"/>
  <c r="O311" i="4"/>
  <c r="D310" i="5" s="1"/>
  <c r="O52" i="4"/>
  <c r="D51" i="5" s="1"/>
  <c r="O319" i="4"/>
  <c r="D318" i="5" s="1"/>
  <c r="O122" i="4"/>
  <c r="D121" i="5" s="1"/>
  <c r="O358" i="4"/>
  <c r="D357" i="5" s="1"/>
  <c r="O247" i="4"/>
  <c r="D246" i="5" s="1"/>
  <c r="O202" i="4"/>
  <c r="D201" i="5" s="1"/>
  <c r="O55" i="4"/>
  <c r="D54" i="5" s="1"/>
  <c r="O151" i="4"/>
  <c r="D150" i="5" s="1"/>
  <c r="O23" i="4"/>
  <c r="D22" i="5" s="1"/>
  <c r="O31" i="4"/>
  <c r="D30" i="5" s="1"/>
  <c r="O380" i="4"/>
  <c r="D379" i="5" s="1"/>
  <c r="O309" i="4"/>
  <c r="D308" i="5" s="1"/>
  <c r="O176" i="4"/>
  <c r="D175" i="5" s="1"/>
  <c r="O152" i="4"/>
  <c r="D151" i="5" s="1"/>
  <c r="O21" i="4"/>
  <c r="D20" i="5" s="1"/>
  <c r="O46" i="4"/>
  <c r="D45" i="5" s="1"/>
  <c r="O195" i="4"/>
  <c r="D194" i="5" s="1"/>
  <c r="O336" i="4"/>
  <c r="D335" i="5" s="1"/>
  <c r="O306" i="4"/>
  <c r="D305" i="5" s="1"/>
  <c r="O117" i="4"/>
  <c r="D116" i="5" s="1"/>
  <c r="O207" i="4"/>
  <c r="D206" i="5" s="1"/>
  <c r="O351" i="4"/>
  <c r="D350" i="5" s="1"/>
  <c r="O274" i="4"/>
  <c r="D273" i="5" s="1"/>
  <c r="O173" i="4"/>
  <c r="D172" i="5" s="1"/>
  <c r="O271" i="4"/>
  <c r="D270" i="5" s="1"/>
  <c r="O190" i="4"/>
  <c r="D189" i="5" s="1"/>
  <c r="O328" i="4"/>
  <c r="D327" i="5" s="1"/>
  <c r="O359" i="4"/>
  <c r="D358" i="5" s="1"/>
  <c r="O365" i="4"/>
  <c r="D364" i="5" s="1"/>
  <c r="O379" i="4"/>
  <c r="D378" i="5" s="1"/>
  <c r="O381" i="4"/>
  <c r="D380" i="5" s="1"/>
  <c r="O64" i="4"/>
  <c r="D63" i="5" s="1"/>
  <c r="O238" i="4"/>
  <c r="D237" i="5" s="1"/>
  <c r="O133" i="4"/>
  <c r="D132" i="5" s="1"/>
  <c r="O127" i="4"/>
  <c r="D126" i="5" s="1"/>
  <c r="O332" i="4"/>
  <c r="D331" i="5" s="1"/>
  <c r="O226" i="4"/>
  <c r="D225" i="5" s="1"/>
  <c r="O269" i="4"/>
  <c r="D268" i="5" s="1"/>
  <c r="O290" i="4"/>
  <c r="D289" i="5" s="1"/>
  <c r="O325" i="4"/>
  <c r="D324" i="5" s="1"/>
  <c r="O19" i="4"/>
  <c r="D18" i="5" s="1"/>
  <c r="O20" i="4"/>
  <c r="D19" i="5" s="1"/>
  <c r="O126" i="4"/>
  <c r="D125" i="5" s="1"/>
  <c r="O334" i="4"/>
  <c r="D333" i="5" s="1"/>
  <c r="O16" i="4"/>
  <c r="D15" i="5" s="1"/>
  <c r="O219" i="4"/>
  <c r="D218" i="5" s="1"/>
  <c r="O312" i="4"/>
  <c r="D311" i="5" s="1"/>
  <c r="O305" i="4"/>
  <c r="D304" i="5" s="1"/>
  <c r="O377" i="4"/>
  <c r="D376" i="5" s="1"/>
  <c r="O201" i="4"/>
  <c r="D200" i="5" s="1"/>
  <c r="O53" i="4"/>
  <c r="D52" i="5" s="1"/>
  <c r="O35" i="4"/>
  <c r="D34" i="5" s="1"/>
  <c r="O383" i="4"/>
  <c r="D382" i="5" s="1"/>
  <c r="O155" i="4"/>
  <c r="D154" i="5" s="1"/>
  <c r="O260" i="4"/>
  <c r="D259" i="5" s="1"/>
  <c r="O363" i="4"/>
  <c r="D362" i="5" s="1"/>
  <c r="O314" i="4"/>
  <c r="D313" i="5" s="1"/>
  <c r="O261" i="4"/>
  <c r="D260" i="5" s="1"/>
  <c r="O114" i="4"/>
  <c r="D113" i="5" s="1"/>
  <c r="O8" i="4"/>
  <c r="D7" i="5" s="1"/>
  <c r="O263" i="4"/>
  <c r="D262" i="5" s="1"/>
  <c r="O227" i="4"/>
  <c r="D226" i="5" s="1"/>
  <c r="O12" i="4"/>
  <c r="D11" i="5" s="1"/>
  <c r="O6" i="4"/>
  <c r="D5" i="5" s="1"/>
  <c r="O335" i="4"/>
  <c r="D334" i="5" s="1"/>
  <c r="O378" i="4"/>
  <c r="D377" i="5" s="1"/>
  <c r="O184" i="4"/>
  <c r="D183" i="5" s="1"/>
  <c r="O7" i="4"/>
  <c r="D6" i="5" s="1"/>
  <c r="O292" i="4"/>
  <c r="D291" i="5" s="1"/>
  <c r="O138" i="4"/>
  <c r="D137" i="5" s="1"/>
  <c r="O354" i="4"/>
  <c r="D353" i="5" s="1"/>
  <c r="O376" i="4"/>
  <c r="D375" i="5" s="1"/>
  <c r="O180" i="4"/>
  <c r="D179" i="5" s="1"/>
  <c r="O234" i="4"/>
  <c r="D233" i="5" s="1"/>
  <c r="O150" i="4"/>
  <c r="D149" i="5" s="1"/>
  <c r="O320" i="4"/>
  <c r="D319" i="5" s="1"/>
  <c r="O18" i="4"/>
  <c r="D17" i="5" s="1"/>
  <c r="O276" i="4"/>
  <c r="D275" i="5" s="1"/>
  <c r="O349" i="4"/>
  <c r="D348" i="5" s="1"/>
  <c r="O36" i="4"/>
  <c r="D35" i="5" s="1"/>
  <c r="O61" i="4"/>
  <c r="D60" i="5" s="1"/>
  <c r="O286" i="4"/>
  <c r="D285" i="5" s="1"/>
  <c r="O136" i="4"/>
  <c r="D135" i="5" s="1"/>
  <c r="O264" i="4"/>
  <c r="D263" i="5" s="1"/>
  <c r="O62" i="4"/>
  <c r="D61" i="5" s="1"/>
  <c r="O124" i="4"/>
  <c r="D123" i="5" s="1"/>
  <c r="O113" i="4"/>
  <c r="D112" i="5" s="1"/>
  <c r="O246" i="4"/>
  <c r="D245" i="5" s="1"/>
  <c r="O77" i="4"/>
  <c r="D76" i="5" s="1"/>
  <c r="O278" i="4"/>
  <c r="D277" i="5" s="1"/>
  <c r="O255" i="4"/>
  <c r="D254" i="5" s="1"/>
  <c r="O347" i="4"/>
  <c r="D346" i="5" s="1"/>
  <c r="O99" i="4"/>
  <c r="D98" i="5" s="1"/>
  <c r="O58" i="4"/>
  <c r="D57" i="5" s="1"/>
  <c r="O249" i="4"/>
  <c r="D248" i="5" s="1"/>
  <c r="O14" i="4"/>
  <c r="D13" i="5" s="1"/>
  <c r="O45" i="4"/>
  <c r="D44" i="5" s="1"/>
  <c r="O157" i="4"/>
  <c r="D156" i="5" s="1"/>
  <c r="O146" i="4"/>
  <c r="D145" i="5" s="1"/>
  <c r="O141" i="4"/>
  <c r="D140" i="5" s="1"/>
  <c r="O43" i="4"/>
  <c r="D42" i="5" s="1"/>
  <c r="O315" i="4"/>
  <c r="D314" i="5" s="1"/>
  <c r="O362" i="4"/>
  <c r="D361" i="5" s="1"/>
  <c r="O5" i="4"/>
  <c r="O239" i="4"/>
  <c r="D238" i="5" s="1"/>
  <c r="O153" i="4"/>
  <c r="D152" i="5" s="1"/>
  <c r="O214" i="4"/>
  <c r="D213" i="5" s="1"/>
  <c r="O356" i="4"/>
  <c r="D355" i="5" s="1"/>
  <c r="O213" i="4"/>
  <c r="D212" i="5" s="1"/>
  <c r="O185" i="4"/>
  <c r="D184" i="5" s="1"/>
  <c r="O30" i="4"/>
  <c r="D29" i="5" s="1"/>
  <c r="O323" i="4"/>
  <c r="D322" i="5" s="1"/>
  <c r="O51" i="4"/>
  <c r="D50" i="5" s="1"/>
  <c r="O110" i="4"/>
  <c r="D109" i="5" s="1"/>
  <c r="O94" i="4"/>
  <c r="D93" i="5" s="1"/>
  <c r="O235" i="4"/>
  <c r="D234" i="5" s="1"/>
  <c r="O196" i="4"/>
  <c r="D195" i="5" s="1"/>
  <c r="O171" i="4"/>
  <c r="D170" i="5" s="1"/>
  <c r="O254" i="4"/>
  <c r="D253" i="5" s="1"/>
  <c r="O348" i="4"/>
  <c r="D347" i="5" s="1"/>
  <c r="O322" i="4"/>
  <c r="D321" i="5" s="1"/>
  <c r="O251" i="4"/>
  <c r="D250" i="5" s="1"/>
  <c r="O32" i="4"/>
  <c r="D31" i="5" s="1"/>
  <c r="O188" i="4"/>
  <c r="D187" i="5" s="1"/>
  <c r="O38" i="4"/>
  <c r="D37" i="5" s="1"/>
  <c r="O44" i="4"/>
  <c r="D43" i="5" s="1"/>
  <c r="O120" i="4"/>
  <c r="D119" i="5" s="1"/>
  <c r="O24" i="4"/>
  <c r="D23" i="5" s="1"/>
  <c r="O33" i="4"/>
  <c r="D32" i="5" s="1"/>
  <c r="O181" i="4"/>
  <c r="D180" i="5" s="1"/>
  <c r="O193" i="4"/>
  <c r="D192" i="5" s="1"/>
  <c r="O98" i="4"/>
  <c r="D97" i="5" s="1"/>
  <c r="O366" i="4"/>
  <c r="D365" i="5" s="1"/>
  <c r="O308" i="4"/>
  <c r="D307" i="5" s="1"/>
  <c r="O262" i="4"/>
  <c r="D261" i="5" s="1"/>
  <c r="O164" i="4"/>
  <c r="D163" i="5" s="1"/>
  <c r="O160" i="4"/>
  <c r="D159" i="5" s="1"/>
  <c r="O236" i="4"/>
  <c r="D235" i="5" s="1"/>
  <c r="O337" i="4"/>
  <c r="D336" i="5" s="1"/>
  <c r="O283" i="4"/>
  <c r="D282" i="5" s="1"/>
  <c r="O266" i="4"/>
  <c r="D265" i="5" s="1"/>
  <c r="O134" i="4"/>
  <c r="D133" i="5" s="1"/>
  <c r="O302" i="4"/>
  <c r="D301" i="5" s="1"/>
  <c r="O198" i="4"/>
  <c r="D197" i="5" s="1"/>
  <c r="O115" i="4"/>
  <c r="D114" i="5" s="1"/>
  <c r="O231" i="4"/>
  <c r="D230" i="5" s="1"/>
  <c r="O189" i="4"/>
  <c r="D188" i="5" s="1"/>
  <c r="O159" i="4"/>
  <c r="D158" i="5" s="1"/>
  <c r="O145" i="4"/>
  <c r="D144" i="5" s="1"/>
  <c r="O352" i="4"/>
  <c r="D351" i="5" s="1"/>
  <c r="O156" i="4"/>
  <c r="D155" i="5" s="1"/>
  <c r="O217" i="4"/>
  <c r="D216" i="5" s="1"/>
  <c r="O192" i="4"/>
  <c r="D191" i="5" s="1"/>
  <c r="O277" i="4"/>
  <c r="D276" i="5" s="1"/>
  <c r="O105" i="4"/>
  <c r="D104" i="5" s="1"/>
  <c r="O76" i="4"/>
  <c r="D75" i="5" s="1"/>
  <c r="O25" i="4"/>
  <c r="D24" i="5" s="1"/>
  <c r="O50" i="4"/>
  <c r="D49" i="5" s="1"/>
  <c r="O106" i="4"/>
  <c r="D105" i="5" s="1"/>
  <c r="O49" i="4"/>
  <c r="D48" i="5" s="1"/>
  <c r="O287" i="4"/>
  <c r="D286" i="5" s="1"/>
  <c r="O154" i="4"/>
  <c r="D153" i="5" s="1"/>
  <c r="O303" i="4"/>
  <c r="D302" i="5" s="1"/>
  <c r="O374" i="4"/>
  <c r="D373" i="5" s="1"/>
  <c r="O344" i="4"/>
  <c r="D343" i="5" s="1"/>
  <c r="O360" i="4"/>
  <c r="D359" i="5" s="1"/>
  <c r="O194" i="4"/>
  <c r="D193" i="5" s="1"/>
  <c r="O34" i="4"/>
  <c r="D33" i="5" s="1"/>
  <c r="O112" i="4"/>
  <c r="D111" i="5" s="1"/>
  <c r="O166" i="4"/>
  <c r="D165" i="5" s="1"/>
  <c r="O327" i="4"/>
  <c r="D326" i="5" s="1"/>
  <c r="O175" i="4"/>
  <c r="D174" i="5" s="1"/>
  <c r="O237" i="4"/>
  <c r="D236" i="5" s="1"/>
  <c r="O345" i="4"/>
  <c r="D344" i="5" s="1"/>
  <c r="O242" i="4"/>
  <c r="D241" i="5" s="1"/>
  <c r="O364" i="4"/>
  <c r="D363" i="5" s="1"/>
  <c r="O338" i="4"/>
  <c r="D337" i="5" s="1"/>
  <c r="O346" i="4"/>
  <c r="D345" i="5" s="1"/>
  <c r="O284" i="4"/>
  <c r="D283" i="5" s="1"/>
  <c r="O96" i="4"/>
  <c r="D95" i="5" s="1"/>
  <c r="O39" i="4"/>
  <c r="D38" i="5" s="1"/>
  <c r="O186" i="4"/>
  <c r="D185" i="5" s="1"/>
  <c r="O329" i="4"/>
  <c r="D328" i="5" s="1"/>
  <c r="O161" i="4"/>
  <c r="D160" i="5" s="1"/>
  <c r="O272" i="4"/>
  <c r="D271" i="5" s="1"/>
  <c r="O206" i="4"/>
  <c r="D205" i="5" s="1"/>
  <c r="O69" i="4"/>
  <c r="D68" i="5" s="1"/>
  <c r="O288" i="4"/>
  <c r="D287" i="5" s="1"/>
  <c r="O174" i="4"/>
  <c r="D173" i="5" s="1"/>
  <c r="O187" i="4"/>
  <c r="D186" i="5" s="1"/>
  <c r="O357" i="4"/>
  <c r="D356" i="5" s="1"/>
  <c r="O71" i="4"/>
  <c r="D70" i="5" s="1"/>
  <c r="O143" i="4"/>
  <c r="D142" i="5" s="1"/>
  <c r="O270" i="4"/>
  <c r="D269" i="5" s="1"/>
  <c r="O131" i="4"/>
  <c r="D130" i="5" s="1"/>
  <c r="O121" i="4"/>
  <c r="D120" i="5" s="1"/>
  <c r="O341" i="4"/>
  <c r="D340" i="5" s="1"/>
  <c r="O183" i="4"/>
  <c r="D182" i="5" s="1"/>
  <c r="O104" i="4"/>
  <c r="D103" i="5" s="1"/>
  <c r="O382" i="4"/>
  <c r="D381" i="5" s="1"/>
  <c r="O90" i="4"/>
  <c r="D89" i="5" s="1"/>
  <c r="O158" i="4"/>
  <c r="D157" i="5" s="1"/>
  <c r="O257" i="4"/>
  <c r="D256" i="5" s="1"/>
  <c r="O301" i="4"/>
  <c r="D300" i="5" s="1"/>
  <c r="O109" i="4"/>
  <c r="D108" i="5" s="1"/>
  <c r="O129" i="4"/>
  <c r="D128" i="5" s="1"/>
  <c r="O91" i="4"/>
  <c r="D90" i="5" s="1"/>
  <c r="O103" i="4"/>
  <c r="D102" i="5" s="1"/>
  <c r="O73" i="4"/>
  <c r="D72" i="5" s="1"/>
  <c r="O9" i="4"/>
  <c r="D8" i="5" s="1"/>
  <c r="O324" i="4"/>
  <c r="D323" i="5" s="1"/>
  <c r="O163" i="4"/>
  <c r="D162" i="5" s="1"/>
  <c r="O87" i="4"/>
  <c r="D86" i="5" s="1"/>
  <c r="O102" i="4"/>
  <c r="D101" i="5" s="1"/>
  <c r="O70" i="4"/>
  <c r="D69" i="5" s="1"/>
  <c r="O119" i="4"/>
  <c r="D118" i="5" s="1"/>
  <c r="O28" i="4"/>
  <c r="D27" i="5" s="1"/>
  <c r="O224" i="4"/>
  <c r="D223" i="5" s="1"/>
  <c r="O350" i="4"/>
  <c r="D349" i="5" s="1"/>
  <c r="O229" i="4"/>
  <c r="D228" i="5" s="1"/>
  <c r="O101" i="4"/>
  <c r="D100" i="5" s="1"/>
  <c r="O147" i="4"/>
  <c r="D146" i="5" s="1"/>
  <c r="O205" i="4"/>
  <c r="D204" i="5" s="1"/>
  <c r="O11" i="4"/>
  <c r="D10" i="5" s="1"/>
  <c r="O68" i="4"/>
  <c r="D67" i="5" s="1"/>
  <c r="O313" i="4"/>
  <c r="D312" i="5" s="1"/>
  <c r="O97" i="4"/>
  <c r="D96" i="5" s="1"/>
  <c r="O13" i="4"/>
  <c r="D12" i="5" s="1"/>
  <c r="O371" i="4"/>
  <c r="D370" i="5" s="1"/>
  <c r="O17" i="4"/>
  <c r="D16" i="5" s="1"/>
  <c r="O204" i="4"/>
  <c r="D203" i="5" s="1"/>
  <c r="O142" i="4"/>
  <c r="D141" i="5" s="1"/>
  <c r="O375" i="4"/>
  <c r="D374" i="5" s="1"/>
  <c r="O22" i="4"/>
  <c r="D21" i="5" s="1"/>
  <c r="O26" i="4"/>
  <c r="D25" i="5" s="1"/>
  <c r="O59" i="4"/>
  <c r="D58" i="5" s="1"/>
  <c r="O116" i="4"/>
  <c r="D115" i="5" s="1"/>
  <c r="O216" i="4"/>
  <c r="D215" i="5" s="1"/>
  <c r="O289" i="4"/>
  <c r="D288" i="5" s="1"/>
  <c r="O279" i="4"/>
  <c r="D278" i="5" s="1"/>
  <c r="O355" i="4"/>
  <c r="D354" i="5" s="1"/>
  <c r="O182" i="4"/>
  <c r="D181" i="5" s="1"/>
  <c r="O144" i="4"/>
  <c r="D143" i="5" s="1"/>
  <c r="O111" i="4"/>
  <c r="D110" i="5" s="1"/>
  <c r="O330" i="4"/>
  <c r="D329" i="5" s="1"/>
  <c r="O369" i="4"/>
  <c r="D368" i="5" s="1"/>
  <c r="O317" i="4"/>
  <c r="D316" i="5" s="1"/>
  <c r="O165" i="4"/>
  <c r="D164" i="5" s="1"/>
  <c r="O89" i="4"/>
  <c r="D88" i="5" s="1"/>
  <c r="O54" i="4"/>
  <c r="D53" i="5" s="1"/>
  <c r="O304" i="4"/>
  <c r="D303" i="5" s="1"/>
  <c r="O191" i="4"/>
  <c r="D190" i="5" s="1"/>
  <c r="O149" i="4"/>
  <c r="D148" i="5" s="1"/>
  <c r="O300" i="4"/>
  <c r="D299" i="5" s="1"/>
  <c r="O316" i="4"/>
  <c r="D315" i="5" s="1"/>
  <c r="O250" i="4"/>
  <c r="D249" i="5" s="1"/>
  <c r="O169" i="4"/>
  <c r="D168" i="5" s="1"/>
  <c r="O177" i="4"/>
  <c r="D176" i="5" s="1"/>
  <c r="O80" i="4"/>
  <c r="D79" i="5" s="1"/>
  <c r="O370" i="4"/>
  <c r="D369" i="5" s="1"/>
  <c r="O75" i="4"/>
  <c r="D74" i="5" s="1"/>
  <c r="O259" i="4"/>
  <c r="D258" i="5" s="1"/>
  <c r="O331" i="4"/>
  <c r="D330" i="5" s="1"/>
  <c r="O10" i="4"/>
  <c r="D9" i="5" s="1"/>
  <c r="O40" i="4"/>
  <c r="D39" i="5" s="1"/>
  <c r="O203" i="4"/>
  <c r="D202" i="5" s="1"/>
  <c r="O245" i="4"/>
  <c r="D244" i="5" s="1"/>
  <c r="O137" i="4"/>
  <c r="D136" i="5" s="1"/>
  <c r="O215" i="4"/>
  <c r="D214" i="5" s="1"/>
  <c r="O82" i="4"/>
  <c r="D81" i="5" s="1"/>
  <c r="O56" i="4"/>
  <c r="D55" i="5" s="1"/>
  <c r="O93" i="4"/>
  <c r="D92" i="5" s="1"/>
  <c r="O100" i="4"/>
  <c r="D99" i="5" s="1"/>
  <c r="O268" i="4"/>
  <c r="D267" i="5" s="1"/>
  <c r="O244" i="4"/>
  <c r="D243" i="5" s="1"/>
  <c r="O243" i="4"/>
  <c r="D242" i="5" s="1"/>
  <c r="O67" i="4"/>
  <c r="D66" i="5" s="1"/>
  <c r="O285" i="4"/>
  <c r="D284" i="5" s="1"/>
  <c r="O384" i="4"/>
  <c r="D383" i="5" s="1"/>
  <c r="O221" i="4"/>
  <c r="D220" i="5" s="1"/>
  <c r="O293" i="4"/>
  <c r="D292" i="5" s="1"/>
  <c r="O172" i="4"/>
  <c r="D171" i="5" s="1"/>
  <c r="O297" i="4"/>
  <c r="D296" i="5" s="1"/>
  <c r="O256" i="4"/>
  <c r="D255" i="5" s="1"/>
  <c r="O130" i="4"/>
  <c r="D129" i="5" s="1"/>
  <c r="O208" i="4"/>
  <c r="D207" i="5" s="1"/>
  <c r="O342" i="4"/>
  <c r="D341" i="5" s="1"/>
  <c r="O88" i="4"/>
  <c r="D87" i="5" s="1"/>
  <c r="O168" i="4"/>
  <c r="D167" i="5" s="1"/>
  <c r="O368" i="4"/>
  <c r="D367" i="5" s="1"/>
  <c r="O210" i="4"/>
  <c r="D209" i="5" s="1"/>
  <c r="O27" i="4"/>
  <c r="D26" i="5" s="1"/>
  <c r="O63" i="4"/>
  <c r="D62" i="5" s="1"/>
  <c r="O232" i="4"/>
  <c r="D231" i="5" s="1"/>
  <c r="O92" i="4"/>
  <c r="D91" i="5" s="1"/>
  <c r="O299" i="4"/>
  <c r="D298" i="5" s="1"/>
  <c r="O223" i="4"/>
  <c r="D222" i="5" s="1"/>
  <c r="O265" i="4"/>
  <c r="D264" i="5" s="1"/>
  <c r="O37" i="4"/>
  <c r="D36" i="5" s="1"/>
  <c r="O84" i="4"/>
  <c r="D83" i="5" s="1"/>
  <c r="O318" i="4"/>
  <c r="D317" i="5" s="1"/>
  <c r="O60" i="4"/>
  <c r="D59" i="5" s="1"/>
  <c r="O132" i="4"/>
  <c r="D131" i="5" s="1"/>
  <c r="O240" i="4"/>
  <c r="D239" i="5" s="1"/>
  <c r="O241" i="4"/>
  <c r="D240" i="5" s="1"/>
  <c r="O48" i="4"/>
  <c r="D47" i="5" s="1"/>
  <c r="O353" i="4"/>
  <c r="D352" i="5" s="1"/>
  <c r="O148" i="4"/>
  <c r="D147" i="5" s="1"/>
  <c r="O339" i="4"/>
  <c r="D338" i="5" s="1"/>
  <c r="O230" i="4"/>
  <c r="D229" i="5" s="1"/>
  <c r="O294" i="4"/>
  <c r="D293" i="5" s="1"/>
  <c r="O307" i="4"/>
  <c r="D306" i="5" s="1"/>
  <c r="O326" i="4"/>
  <c r="D325" i="5" s="1"/>
  <c r="O78" i="4"/>
  <c r="D77" i="5" s="1"/>
  <c r="O135" i="4"/>
  <c r="D134" i="5" s="1"/>
  <c r="O200" i="4"/>
  <c r="D199" i="5" s="1"/>
  <c r="O125" i="4"/>
  <c r="D124" i="5" s="1"/>
  <c r="O310" i="4"/>
  <c r="D309" i="5" s="1"/>
  <c r="O47" i="4"/>
  <c r="D46" i="5" s="1"/>
  <c r="O340" i="4"/>
  <c r="D339" i="5" s="1"/>
  <c r="O295" i="4"/>
  <c r="D294" i="5" s="1"/>
  <c r="O372" i="4"/>
  <c r="D371" i="5" s="1"/>
  <c r="O162" i="4"/>
  <c r="D161" i="5" s="1"/>
  <c r="O209" i="4"/>
  <c r="D208" i="5" s="1"/>
  <c r="O83" i="4"/>
  <c r="D82" i="5" s="1"/>
  <c r="O72" i="4"/>
  <c r="D71" i="5" s="1"/>
  <c r="O211" i="4"/>
  <c r="D210" i="5" s="1"/>
  <c r="O139" i="4"/>
  <c r="D138" i="5" s="1"/>
  <c r="O367" i="4"/>
  <c r="D366" i="5" s="1"/>
  <c r="O252" i="4"/>
  <c r="D251" i="5" s="1"/>
  <c r="O275" i="4"/>
  <c r="D274" i="5" s="1"/>
  <c r="O212" i="4"/>
  <c r="D211" i="5" s="1"/>
  <c r="O179" i="4"/>
  <c r="D178" i="5" s="1"/>
  <c r="O74" i="4"/>
  <c r="D73" i="5" s="1"/>
  <c r="O280" i="4"/>
  <c r="D279" i="5" s="1"/>
  <c r="O218" i="4"/>
  <c r="D217" i="5" s="1"/>
  <c r="O197" i="4"/>
  <c r="D196" i="5" s="1"/>
  <c r="O273" i="4"/>
  <c r="D272" i="5" s="1"/>
  <c r="O95" i="4"/>
  <c r="D94" i="5" s="1"/>
  <c r="O248" i="4"/>
  <c r="D247" i="5" s="1"/>
  <c r="O86" i="4"/>
  <c r="D85" i="5" s="1"/>
  <c r="O258" i="4"/>
  <c r="D257" i="5" s="1"/>
  <c r="O222" i="4"/>
  <c r="D221" i="5" s="1"/>
  <c r="O298" i="4"/>
  <c r="D297" i="5" s="1"/>
  <c r="O41" i="4"/>
  <c r="D40" i="5" s="1"/>
  <c r="O29" i="4"/>
  <c r="D28" i="5" s="1"/>
  <c r="O123" i="4"/>
  <c r="D122" i="5" s="1"/>
  <c r="O199" i="4"/>
  <c r="D198" i="5" s="1"/>
  <c r="O42" i="4"/>
  <c r="D41" i="5" s="1"/>
  <c r="O118" i="4"/>
  <c r="D117" i="5" s="1"/>
  <c r="O79" i="4"/>
  <c r="D78" i="5" s="1"/>
  <c r="O233" i="4"/>
  <c r="D232" i="5" s="1"/>
  <c r="O108" i="4"/>
  <c r="D107" i="5" s="1"/>
  <c r="O253" i="4"/>
  <c r="D252" i="5" s="1"/>
  <c r="O291" i="4"/>
  <c r="D290" i="5" s="1"/>
  <c r="O267" i="4"/>
  <c r="D266" i="5" s="1"/>
  <c r="O170" i="4"/>
  <c r="D169" i="5" s="1"/>
  <c r="O225" i="4"/>
  <c r="D224" i="5" s="1"/>
  <c r="O140" i="4"/>
  <c r="D139" i="5" s="1"/>
  <c r="O15" i="4"/>
  <c r="D14" i="5" s="1"/>
  <c r="O321" i="4"/>
  <c r="D320" i="5" s="1"/>
  <c r="O282" i="4"/>
  <c r="D281" i="5" s="1"/>
  <c r="O167" i="4"/>
  <c r="D166" i="5" s="1"/>
  <c r="O128" i="4"/>
  <c r="D127" i="5" s="1"/>
  <c r="O65" i="4"/>
  <c r="D64" i="5" s="1"/>
  <c r="O107" i="4"/>
  <c r="D106" i="5" s="1"/>
  <c r="O361" i="4"/>
  <c r="D360" i="5" s="1"/>
  <c r="O178" i="4"/>
  <c r="D177" i="5" s="1"/>
  <c r="O373" i="4"/>
  <c r="D372" i="5" s="1"/>
  <c r="O228" i="4"/>
  <c r="D227" i="5" s="1"/>
  <c r="O81" i="4"/>
  <c r="D80" i="5" s="1"/>
  <c r="O220" i="4"/>
  <c r="D219" i="5" s="1"/>
  <c r="O296" i="4"/>
  <c r="D295" i="5" s="1"/>
  <c r="P5" i="4" l="1"/>
  <c r="Q5" i="4" s="1"/>
  <c r="D4" i="5"/>
</calcChain>
</file>

<file path=xl/sharedStrings.xml><?xml version="1.0" encoding="utf-8"?>
<sst xmlns="http://schemas.openxmlformats.org/spreadsheetml/2006/main" count="225" uniqueCount="112">
  <si>
    <t>Donor</t>
  </si>
  <si>
    <t>O</t>
  </si>
  <si>
    <t>=</t>
  </si>
  <si>
    <t>D1-R1</t>
  </si>
  <si>
    <t>D2-R2</t>
  </si>
  <si>
    <t>D3-R3</t>
  </si>
  <si>
    <t>D4-R4</t>
  </si>
  <si>
    <t>D5-R5</t>
  </si>
  <si>
    <t>&lt;=</t>
  </si>
  <si>
    <t>Blood Type</t>
  </si>
  <si>
    <t>A</t>
  </si>
  <si>
    <t>B</t>
  </si>
  <si>
    <t>AB</t>
  </si>
  <si>
    <t>Frequency</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</si>
  <si>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</si>
  <si>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</si>
  <si>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</si>
  <si>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</si>
  <si>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</si>
  <si>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</si>
  <si>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</si>
  <si>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</si>
  <si>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</si>
  <si>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</si>
  <si>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</si>
  <si>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</si>
  <si>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c9b33993-26a7-4dfb-a03b-e95e9e776bdf</t>
  </si>
  <si>
    <t>CB_Block_0</t>
  </si>
  <si>
    <t>㜸〱敤㕣㕢㙣ㅣ搵ㄹ摥ㄹ敦慣㜷搶㜶㙣攲㈴㄰慥收㝥㜱戴挴㠱㤴㕢搳攰ぢ戹㐰㉥㑥搶〹㐵ㄴ㤶昱敥ㄹ㝢㤲㥤㔹㌳㌳敢挴ㄴ摡搰㔲㈸扤愸㠲㍥戴㔰摡㈲㔴愱昲㔲㠹㍥㈰愰昴愱㔲愵㔶ㄵ㔴㝤㐰㤵晡㔰㠹愲慡㝤㘸㔵㐵敡ぢて㐸昴晢捥捣散捥敥㝡挷㘶㠱搶㔴㥥㘴晦㥣㌹昷㜳晥敢昹晦㌳㐹㈹愹㔴敡〳㍣晣㤷㑦㥡㠹ぢぢ㑢㥥㉦散晣㘴戵㔲ㄱ㈵摦慡㍡㕥㝥摣㜵㡤愵〳㤶攷昷愰㐲愶㘸愱摣搳㡡㥥昵㤰挸ㄶㄷ㠵敢愱㤲㤶㑡㘵戳扡㡡㜲㜶挲摦㔰昴愲戳㔵㝦ㅡ㘰㘶㜲攲昰散〹昴㕡昰慢慥搸㌶㜲㍣㘸扢㙢㙣㉣㍦㤶扦攱愶敤㌷攷户㙦ㅢ㤹慣㔵晣㥡㉢㜶㌹愲收扢㐶㘵摢挸㜴㙤戶㘲㤵敥ㄲ㑢㌳搵㤳挲搹㈵㘶户摦㌰㙢摣㜸昳搸㡤㍢㜷㥡户摣㜲㜳㍦㠶㑥ㅤ㥡㥣㤸㜶㠵改㝤㑣㝤㙡㥣昲㡤㔳愲㘴㜱㙤㐲戸㤶㌳㤷㥦㥣挰摦搸晣昱㜶㔳扥㌰㉦㠴捦愱㠵㉢㥣㤲昰㜴㌴散戳挷㍤慦㘶㉦㜰昳㜴㝢て㤶㕡㌲㍣㕦戳㈷㐵愵愲摢㔱慦㔹晢㌰昶慥㘲㉣昵摢〵攱㜸㤶㙦㉤㕡晥㔲挶㥥㐱㐷攵〱晢㤸㈷㡥ㅡ捥㥣㌸㘴搸㐲戳昷搶慣㜲㍡㜸㔲㍤㔷㐷㕤挴㈷㈶㤷㥦ㅦ昷散挹㜹挳㤵㌳昲戸㌱〹㜵昷戸愵收扡㤷㜷敥㤷㔳㤷㈳戰捦㉢㍢搷㐳挹㜱挳慤搷ㅣ敤㕣㌳㕣㝣昳っ慥敦㕣㍦戶㐷捤㙤慥敤摣㐶㙥㘵㜳㙤愵㉦愴㙦戹愳㔸㡣㥥㈱攸㈵挸ㄲ㄰㠱㝡㡥愰㡦愰ㅦ㐰㐹晦ㅢ㕣ㄲ㙦挸㈲戵㘸愸挵㔹戵㔸㔲㡢㘵戵㈸搴愲愹ㄶ攷搴攲扣㕡戴搴攲〹戵㜸ㄲ㜵愲㈷摢摢慢㠶捦挱搷慦戰㜷摥㕡㌸昸散晤㉦摤㌲昲㠸㌸摢扦〱㤵㡥㠴㤳㥡㜲㡤㔳㈰戵〶ㄵ敦挸㙦攷㥦㤵戹〲㑣㘱敥㌴㙦㌲挷挶捡㍢户ㅢ㌷ㄸㅡ㤷㤵㠰晣㈶㐲ㄹ㐲摤㝥昳㙥换㈹㔷㑦㐹摣㕤㌸㘱㜸愲戱㜱愳㘱搹㐴戵收㤴扤ぢ㤶㉦㉣昸㠶㉦捥㙦㉤㙢㜴搲搶慣〰戶ㄲ㥥ㅣ敦攲搶㘶挷㡤㑡㑤㡣㥦戶㠲攲㡢㕡㡡敤㘹户㍡摢戹㜴㡦㉢ㅥ慣㤷戶捤㘸ㅣ㐲㙤㔱昶摤戶捡愰㈸㤸搷挸攴㝣搵ㄳ㡥㥣摥愸㍤㙤㤵㑥ち户㈰㈸ㄲ㐵㔹㉥㜵㌳㡢㐲慥ㅦ㍤散㘰愱攰搶昲㘵昱㕣昳㡥搳㍥㤸㔹㤴㌱摦〵攱晡㑢㌳挶㙣㐵㙣㘹慡ㄲ㡣㠹㠲慤㑤搹㝢慡愵㥡㌷㔹㜵㝣户㕡㘹㉥ㄹ㉦㉦ㅡ㤰㌴攵㠳搵戲㐸愷㔳㔲㈸㐰攰昶昴㈸㑡敡扡捥扣㈰ㄱㄱ㐳㌱ㄹ昹扣㘶戲换ㅦ挵敡戰㡡㡡㈰㑤慡㔷慣搰ㄹ攷㉢㘵㑣〲〷挶搶㐴晤挱㐱慦㔹愱摢㍡收㍥搹捡慡㍡ㅣ慥晥㡥㐵攱昸晢っ愷㕣ㄱ㙥愲昶㔳㌸㈳㝤㄰㐰㍢ぢ㠱搰㜱昷愸敡㤴搳捡㤲㜶捡㉡晢昳㤹㜹㘱捤捤晢挸㠳㠶捣㘶戹戵㙤㡦㝥づ戲昴㡤〴挳〰戹㕣㉡戳㠹㤵㌲㌹㍣㈹㡤搲㈹㠱㤷㥢〴㌹摢㌵昱㜲扦戹挷慡昸㈲㄰捡㠳㈶㌰ㄲ㘸㌵㠹扥〱㤲愸㙢㤴〲㠵戱挹㥣〴㤵ㅡ㤶攳㉦㌵昸戶㡤㑢〲㈲㕡㤷〵㙢㑥ㄶ㔰ㄴ㌴换㠳〴㕥〳搱戴㐸㠳攴捡㌱㈲㈲ㅢ㈴㘸㜶昴摣㑣㘴慣㥦㈰㈳㔰㍦㑥㠴慣扤扤戳㡣㈰戱户ㄳ㈹ㅢ㜵攴挷㜵㘹戶㥣㉤ㅦ㐸戳捤搸㌸㝤ぢ挱戹〴攷ㄱ㙣〵㔰晥〶〹㐷㈹㠷㜴昳愳㕦㠰㜷晤㐲㠲㡢〰㈰㥦㜴捡㥣㔰㔴搱㠶㕡㡤ㅤ挹㝡〳戰㤳愵㔱ㅣ㠸㈲㕡挶㜵㍢㜳挰㤶㠸づ慤捥戵愱㙢搳㔲挷㕥搵㤹㌶攳换㈱㐵㈶㔴㡤慦㜵㠵慡昱㡤㘰搵㉥昵搶㈵㘸慡㡦㄰㕣ち㄰㈸ㄶㅡ扢慢戳收㘹㑥㝥㉡㑣愲挰㄰敡㔲戹㠷㐴㑣昳㍦㐱挰戵ㅤ㕤搶敤㘷㥡㠲愳收愷摥㝥摥搶㤹户㐳愴户攸捣㜵㥤㐳㕦搱㠷戴愰㉦〳㝢㈹㝦敥愸㕦慥㐰戱㝥㈵挱㔵〰㉤晡㠵㈷敦て敢㈵㤰㈶戱ㅤ挳摣㐶㝡㕣愴㠵㍢戳戴㈰愴昶改㌷㘷っ㜷㑥昸昰㕥散㥦㠲ㅤ㕣㜵㕤㔱挱㠱戶㉣㌳㜸㜶㌹户㌹搳摢攳㔶㙤收慦摢挷摥愷㐲㌱愴搳㙡㑦慡挵㍥㑥戰㌳㘳晥愶ㄸ攵㔰晦摥搰㔹㐸挴ㅡ㌵㤳ㄷ摢㈵㥦㉤搷㈵㐹ㄷ㤲攴ㅡ㙣慢㝥㉤〰愴㠴昲挷㡥ㄲ㘵㤴搵戶挹㙡捤搶㉡扤㝢〹㈷㤳ㄶ晦㘱㥢ㅣ改ぢ㥣戵ㄳ昰ㅤ㜸〳㜶挱戲敢挲愲捦㥥ㄶ㙥〹㝥〵慢㈲㜲㠱㑢㤶愲㘶㕤㔶㝣㑡㘴㐵㑦㑦摢㔹㍡挱户㈶改愴㐵㑡㈴㜲㝢㘲㘱挲㌹扣㐱㔴㜴㐱㔲愸㈴戸㠵敡ㄲ㠸㤴挷扡敢㈲愶ぢㄱ㤳挷挶改搷ㄳ㙣㈷ㄸ〳搰㝥て㐹戳摡㡤㘷㈸慣㜷㤱敥散㘲㌱㤵㈵ㅡ愴㝢昰慤㡥挲敡㐶づ戳㤳攰㌳〰㉤收て㥤㡦〹㠴㈸㔱ㅥ㈳㐴㕡㑢扡㜹摣ㄲ愷㐸〳ㅢ㑣〴㤵㈶㙢㥥㕦戵ㄹ㔵ㅡ㌰愷慡㠷慡晥㤴攵㉤㈰ち㌵㙣㠶㠹扢攷㠵〳敡㜲㘱晢戴攴㔵ㄷㄶ㐴㔹㌷ぢ搵ㅡ㐴摢晥愹戵㜰㈸挷晡㘰㑢捡㜳戹慡攰改敥㙣㡣㉥ㄴ㜹㈲㠶慦㤵㥥搸㔵㜹扥㜹攸ㅢ㙣散攸㡣攵㔷㐴㥦ㄹ㌰ㅤ搳㔹ㄳ扢㠸愸㐱戹搷㥣㤹㜷㠵㤸ㅡ㌰昷扡㔶戹㘲㌹㠲挸㠰㡤挹㐰摤〱㌱㠷〸挱㜴㤵昱扦慡㌳㘰捥戸㠶攳㉤ㄸっ㈶㉥㙤㙣㝡㤳㈱ㄱ捤㥣戰ㅣて挳㐸㉣㌲㍤㘸ㄶ收慢愷㄰慤慤搹捥㕥㘳挱㕢ㄳ㔸㈱搱〷㡦㐴㡤愲㉡慡慡㘴搵㙣户昸攱㠱㍣㤵摡㠱㕦㥡㐰攲㉡愵搱㕦㥥愰扤㘹搷㠷昱ㄹ摡改㥣㔳㍦㈲㐷昵捣㥥㐴㈹㑣㑥搵㙦㘶㥢㕢〰敥摣㝢㙣㝦㈳㉡昷㤱攲搵ㅡ㍤晣〹㌲㕥㤲㐵㍤〸㐲晦摣㠶㠰㔴㤸㐷捡〱〷〲攳㝣㙢㈵扦㥣㈹敢㤰晡㌶㌴㤲㝢㄰㐵敡㌷てㄸ戳愲㠲㔸戴㙤昸ㅢ㠲ㄷ㥡戱戶㔱昱挲戲挹慡㙤ㅢ㈴㉤㤲㘵愱㘴㤰㠲挷㙢㝥昵愰攵攸㈶㠰愴扦㌰换㌸㡤㉣攳戴捣敡㌷㡦㌲㉣㈸搳散慢㍡㘷戸㤶㍦㙦㕢愵㉣㕦ㄸ扡㕢ㄳ㌴〹㈶愷攴㡤㥥㐸㘶㡣戴㔸昳挷㘰戲㜹㜹愰㍢て㌹捡慤㈳晡㐱戹慡㤲挱ㅦ愵㑢挷ㄲ〴㡣昴㤲敡户愱㌷㑤摥㡣㠰挸㤱捦搹攸晥挵搹㉦㈳㈷昰换ㄱ敢〹㈴〲㡦㘰㑣挸搳扤㥤㌱㡦㌹㤶て散ㄱ㘳㝢㉣㝦捡〳捡〱㤰㤴挷摢昳㈵㔶㘳㡤㐶敢㕡攱㤲昶愲㈶㌵㜱㜱㝢㜹㕣㙦㕣戱㑣㜱愰㔱㘲㡡㘴愵㑡㔲戳㉣㌳挷戵愴㙡ㄴ愹戸㈳㙤愳㈴戹㑤ㅢ晢㑥㈹昲ㄱㄴ㤳愴㤹㤴扥㑢ㄲち㠲扣愴づ攸㈸晡敢㤳挹㈳ㄶ慤愱つ㤰愳㥥ち昲〶挲㜰攰㝥㕣㌹㈹㡢㕣昸〶晥摥㄰㈶て搷晣愶ㄲ攳昴㜰㔸㌲㕥愹ㅣ㜶㘰㈵㤴っ户扣㐶㔸ㅡ㙢ぢ㌴㡣攴捥㙥戵㝦戰扤㌱㐶っ搹㤰㈱㤱〴㍦㌰搸㄰捣ㄵ㡢愶搲㍡ㅢ攰㔶搷戳戳㝣㍢㈸っ㐷㘲愰攰㤷愷挴愲㌴挳ㅡ㤶晣戰㙣㔰㍦㉤㑡㌹慡㥢攳戳ㅥ㔴扡㑦㌹ㅥ愶㈴㠳敢收㔱扡愵㜰㠱〱㘲㌷㑣㑤㤷㝣㠴㜵敢ㅤ昰㘴戰㜶戰㠳ㅤ〹挲㈶戴捥㈸㐱㌳〹㠴摢扣〸昲㑥㤷ㄸ㠵㈰㌵攵昳慦摤捡戳捦昰㜹㘹㜷㉡㑡㠴㑣挴㔰㔷㠲昵〰攴挶愳㤲攴愲攱㈸㔸ㅥ㐸㌶㈹戴晡愳㍣㥡ㄸ〳㌴昹㕣ㅦ㌷㜸ㄸ挷ㅡ㈴摢㔴㜰挷捤户愰㑤㉢㑢ㅢ捣晤㑥愹㔲㉢ぢ愹㡡㈳㔹㉤㌵昲㥡挰㤷扣晥ㄷ㜰㔳挲扥㠴㥢戲ㅦ㐷㈹㉥㤹㐸敡摥敥搶㍦㠷收㔲挸愱㡦㐰戶㌱昸㤸攰㤶㤳挱戰戶㍢ち戴て㌷㌶㉥㉦挸㡢㜳㄰㘹㙤㔹㤴㘵〷㜰ㄷ慦ㅥ㐱㤶摣ㄶ慢㜶愰㝡愰㑡㥢㍤㤶戵捦ち戲搶〴㡥戰捥㐰攰㘵㌲㌰㐶扡攴づ㜶㤲㍡ㅢ㐶㜶捦㝥㔹扥愶捥敥づ㡤て㠵昱㕤㥥㠲㔲搸㔵㌰ㄲつ㙥戵㘱㜵㉢㡣晣搲昲搶㙦〷㔰ㄸ〲愶㐱㡢㥡㠱㠱㌳㠱昴捡〶づ㠳㤱〹搱搱㜸㈰㤵㌱捡㘱㌸散㠱㌴㜰ㄳて搲㌳㔵㈸㈱㝦㤳扣ㄴㄶ摤㑢ㅣ戵㜱〴慡扡㕢㕡㌲愷つㅦ㔷㕦㥣慤㉤搹攳攵㌲捤㕤昸攷搶〴㔶㜱㙤㈳㌰㐷㌷戵㕣挸㤲㙢愲㝤㜷㜹㑢㐱㜸㔱㜰挷㔴㝥㥦攱㤷收ぢ晥㔲㜰㘹慢㕢㤲搰㝥〹㝦挴戲愳搳㘶㑥㍢扣㠴扡挸扤捦㥤㜴慡愷ㅣ㌹㉦捤攳㡤㍦㕡戱㝡㙦㉦㈷㤹㑢㝤㠰㍦昲㔱㔳摡ㅢ攸㜱㌵搳㘶〷つ〷〹晢㤱㑦㈰つ㐶㤰㑥愰ㄳ搸敥昵ㅢ〳愴㤳㑤㉤㜴㈲〵挱㍡愱㌸㜳ㅦㅢ愱㈸扦〰㕡㐹㉣挱㤱ㅣ㝢晥㈲㔸㕦㜹ㅤ㌹㐴㌸摥㐳㌱愲㕤㡡㔴〲敡愴㈰て慦㜷昰㌲挸晦て㤶㈲㙥㕥㤶㥤晥ぢ捣慣扣搶㡡愲㡢㠹愲㔷摢㔱挴㐰散㠷ち㜹㜳昶敢㐷捤㑦晣㕡敦晦昰愸㜹㈷㌰捣㐷㕡㘳〸慡㌱ㄸ㕦㌷〶㝡摡㡣㠱㉢㔱㉣㡤㠱扢搸㠶昱晡挰ㄸ〸扤ㅤ〷㤱戱戲㌱挰㈸㕥㠲挹ㄷぢ慡挶ㅣㄸ㍣㙢㙤戱改〹摢㠷敢戵挲㐳攴ㅥ敡挹㥢㠴敦改摣昶散㘹挳㌵散慤㌲㝦慦㉢愰戶摣ㄹ摣搷㤶㑤搸攲晣㘵㑢㘴愳㘵扣ㄲ㤱㍦㝤摤㜳戲扡㕢敡挰㔴昰〴㡥㝡㈵慢㘴㍥㠲㑦㐴攱〹㈱昵挵㑤㍦摢晢㤷㠷ㅥ摢捤㝢㘹㈱慤㙡っ〴㜷ㄳ㥣愷攵㠰昰㙤散㑡挸㘶㝥㝥㜳㄰ㅦ㈲㔹ぢㄵ㌱㘱戸搲摥昱㜴㍢㑡〶㠴ㄷ㈳捣㠰昸搶㠲㌱㠹ㅢづ㠱㌱㤹㙦㜱㙣捡捦㤷愴㌳㌰ㅦ㥢戸昴摥㐵〱㐲愵愳捡敡搲慥搴㝥づ愵昳㈱㈷搲㙣て昲㝣挹㐷㔱㕥㙥搵㙡㍢愹搵愴㤹愸㡣愲㐶㈴愵㄰㘹㈰㠵挴㡦㉣っ晤㑢㈹㌵㡤㠴㤶〷㐸㠸愱戵〶㜳㜹昲㕦ㄷ〲愲㝥扤慦换㑦㔵戰㡢挰㘲攴㜵敦昶散㑡慢㌳㔲㑤っ捡捡搳挷ㄱ㈴攴㌱㠵ㄹ㡣搲捡摣愳㐸㐴㡦㌶㠶搴慡ㅤ㑦ㅣ㘴挰づ㐲㙣〱㘳㙢㌶扤㙡㌹晢づ愷㠶㍢ㅥ搰㌳ㄹ愹㌰㥣㡤捣挶搱㔳㐶攳㠲慡戹㈰㡢㜰㌰㐸搶ㅢ昵㠵㐵搰㔹捥㔶㥣㍦ㄱ收攳昷㐰㉣ㅦ㙤㜴扤戹戵㠴㍡捥改挵〲昹㠳晤㜵㜱〲㘳㘳㔴㜲っ㈴散慡㙡㘵㠳㑢攰〵㌴㤱昶扣愲㌷㤲ㅣ㑢㔱ㄸ㡤㡥㌸慢㐷㙤搳晦㡣㔳㑢捥㥡㘱㙤〶慣㥢昴晦㜱㘴慣愸晦ㄵ㐶搹㈴捡敥づㄳ㝣搱ㄸ㈹㔹㌱㌸挳ㅤ㠱てㅢ㘱ㅡ㜹〴搶㘵㤲挱敤㈰㔵挰㈷慡㐱戱㤴攰昰㜰愵㕢㉦㐱搴摢搲戶敤敢㈸〰ㄹ〵搲㝥ちㄱ搴戱㍤㈷摤㝥㡥捤摣㠳散㑤〷慤㤲㕢昵慡愶㍦㔲㐰㜸㜷㠴㕦㤸㤹戰㜹挶㤵ㄷ㕢㠵摡攵搸㠹晥㝢搱收搰㘱〸散㐳挲晦戸愲㡥㡣㈱慣㉥㘶挱慦㡤㠶㘲㠱㈴㙡〷敦ㅣ昳㐸捤愸攰〳搵挳昰㙡晡捣㕡ㄳ捡㉥昰㉤户摥挵攰搶攱㌶搶㕤昰晣㠸㑡ㅥ㘱㌰戹㠴㝢敦攳扥戶敥㐱㜳摤㜰㙤ㅥ㙢㜶攷㕤换㘹㍦〱㑥㔷㌷㑡㌳挹㜰㑣㝥㜷㥣搳敦㈳㐴㥣㠷摥搱搵扢㘲搹摢㌰攸㍣晣㙣㥢㉥慦搱ちㅣ㘵慢㠸㜳摦㡦愶捡敤〴昸改挵㌰挱ㄷ㠵晥扣摢㤸㜸ㅥ换㈲〳㈰㥤捡ㄸ〰㥤愹晡㐷换㔱戵挲愳〵愹㌰愷晣㄰攵摣愵㘰戵㘵收攱愸㈱㡦㄰㐸敢〲㈰㝡ㄴㅥ㈱攴昸捦愲㐱㝤晣㌹攴㜶ㅥ晦晢换㡥㑦攵㉦搷ㄷ敦㝦㈸㔲ㅥ晡〹ㄴ敢㈷〹㉡〴㌶挰㔰愴㐳〶㈹ㄶ㈹㙢㌲㐱㄰攱戵摤㐸攳昹㐳昸敦㍢扢摦㝡㤳捦㍦㜷㉢㔲㄰愲愸㜹ㄵㄴ㠴㜲ㄵ㑦挵㔷戱㠰摣捥慢昸捥㜲慢ㄸ愲㡣攴㑣㜴ㄷ㘰愰㐷㈱慤挸㔵㜹㐸㜰㐳昹㔳㈴㐲㤱㘸㥡挵㄰ㄱ㉢摢搶㤰㐰㕢敥扣㙣扢㠸㐴搴㜶㈸摡ㅥ㡤㍢㤲昰㉤㡦㌴㤴㜸昷㤱敥㥢㑣攰㝦捤〴敡㌱㙢㠷㡥搷㌵㈱㈴戰㌶㝥ㅣ摢㔱戶㘷扡っ敡㉢㑦㐶ㄸ摡户㉦晡㔰㑡つ挳㑣愰㤰挰㌴㈵㐵㜱㈳㤵慦㐷㤵㕦㝥愵攱㈵㐵〱ㅥ㤰㔱㔰㤹㤴㈷㉢㍦ㄱ㔵摥㠱㡦戰㘴㥤ㄴ㉦つ昰㜹㈷慡㑣ち㤵㤵ㅦ㡦㉡晦㘳挷搶㝡攵㠸㈰㠳㥥㌵㔲㑢㠲搱㉢㡦〱戱て戲㜹扡搶㑣㉡搲㍥㌳挸愶〸㤵搱攲㡡㔴愵晤戸晦攱攲㤳攸〳戸捥㠴㕢ㅦ㤰戶挱晦㡣戰ㅦ搷㥣愶っ摦挰ㄷ捦㡢㠸㉦扢扡㝣㘳攳㡣㜹搸㐵㐶慦戹摦挳攱慡扣愶㐸〴㜶㐱㍡搸摦ㄵ晣昰〹㌶㘴㘳㍦愲戸㤸捡㙢㈳摤㘹ㄱㄹ㑢㐹㉢㡦㐵㤸㑤㥤㘹搰㡣晥〸㤰〳㜹〹挸㠴晥㈵挰㈰昶戲㠹ㄹ㐳ㄴ〴㤲换捦㈰愱㍦㑡昰ㄵ㠰㥣㐲慥㈷ㅤ㘴扥ち㌰ㄸ晤扦ㄴ㈳㡢搲㜱愲㉡て㐷㠳挵挹㐸晦ㅡㅢ㍣づ搰〳㡦慤ㄲㄲ㘱㑥㝦〲㌹昱㐱㈹㐱攴愰㑦戲攰ㅢ〴摦〴挸㘹㥣散慡㜷㡤㙢敡㔲㠵㝤ぢ㑤ㄵ㙥㠵ㄴ㘸摦づㄳ㝣搱捥〰摣搶搹㘸收㤹㌸晡㡥ㅦ搱捤愶て昶敦挰〷昸㑢㕣㜴て晥晦ㄱ㑤㕡昸㘹昵搶敥晡㈲ㄳ㘸㥣て㝦㉥㌶晢㈳昴挳㜵㌵㡣㑤昶昸㔹晣戲㙡㐶㜹ㄴ晦㥥挱㑦㜹㄰㈳㜰ㄴ慡摣㉣晣㉤愴〱㔹戰㄰ㄶ㔰㜷改㑦〱㈸挴㌱昱愴㍦捤㌷愲㤶晤敢摦つㄳ㝣㔱㠸搷㌳㑣㔴挲收搱㠰挴戵㉣㌸搹㌲㈰昱㉦ぢ㑥挴〷晣ㅥ㜲ㄵ㠹㉣㈴㥡搵ㄳ㤱㤶㘶敥㌳〰〳㍤㠳㥣ㅢ搵㥤㝡㕡㈹㍤㔰㝥攰㠱昷〶搳㈳攷愷㍦㝦㝢晦㌳敦晣敥摤愷摦晥挲慥扦扦晦摣㜳㙦晦昵改㌷摦㝦㘳㜶搷㙦㕥㜸攱搷㜷晥昸捤㜷㌷㥡捦慢慦扣㜷攰昹㠷挷㑥㍥晣愰㜹散扡扤て摦㜳攲挸搸昴㌹愳㍤㍤扤扤㔷て晦昶扣㙢㠶捥㍣昸慡昲慢㍦㥤敢㈸㜲戹ㅣ㔰〰㐴捦㄰㤷㉤愷昱〳㈴㌰つ捥昸ㄳ㥤〶㤷㝢〶㍦愵ㅣ㙥搴〴㕥戲㜰㙥㜰〲戲愰搴㕣搰昷ㅦ㌴㍤戱戵</t>
  </si>
  <si>
    <t>Decisioneering:7.0.0.0</t>
  </si>
  <si>
    <t>2d934d37-3de0-41e7-b852-00e338a2a4f4</t>
  </si>
  <si>
    <t>CB_Block_7.0.0.0:1</t>
  </si>
  <si>
    <t>㜸〱敤㕣㙤㡣ㅣ㘵ㅤ摦㤹摢搹摢搹扢敢ㅤ扤戶㔰㕥㡦昷㤷㙢㤶㕥㑢〵挴㕡敥㠵扥㐰㕦㡥摥戵㐸㄰㤷戹摤㘷敥愶摤㤹㍤㘶㘶慦㍤㐴㈹㡡㈰扥挴㠰ㅦㄴ㐴㈱挴㄰晤㘲〲㈶〸㡡ㅦ㑣㑣㌴〴㡣㌱挴㐴ㄳㄳ㈴㐶㍦㘸㑣愳㕦㠸挱攰敦昷捣捣敥散敥敤摣戱〵㍤捣㑤扢晦㍥昳扣㍦捦晦昵昹晦㥦㘹㑡㐹愵㔲敦攲攱扦㝣搲㑣㥣㍦戵攸昹挲捥㡦㔷捡㘵㔱昴慤㡡攳攵㐷㕤搷㔸摣㙦㜹㝥ㄷ㉡㘴ちㄶ捡㍤慤攰㔹昷㠹㙣㘱㐱戸ㅥ㉡㘹愹㔴㌶慢慢㈸㘷㈷晣つ㐴㉦㍡㕢昵愶〱愶挷挷づ捤ㅣ㐳慦㔳㝥挵ㄵ㕢㠶㡥〶㙤㜷㡥㡣攴㐷昲摢慦摦㝡㐳㝥敢㤶愱昱㙡搹慦扡㘲愷㈳慡扥㙢㤴户っ㑤㔶㘷捡㔶昱㌶戱㌸㕤㌹㉥㥣㥤㘲㘶敢昶ㄹ攳扡ㅢ㐶慥摢戱挳扣昱挶ㅢ㝡㌱㜴敡攰昸搸愴㉢㑣敦㝤敡㔳攳㤴慦㥢㄰㐵㡢㙢ㄳ挲戵㥣搹晣昸ㄸ晥挶收㡦户敢昳㔳㜳㐲昸ㅣ㕡戸挲㈹ち㑦㐷挳ㅥ㝢搴昳慡昶㍣㌷㑦户㜷㘳愹㐵挳昳㌵㝢㕣㤴换扡ㅤ昵㥡戵て㘱敦捡挶㘲慦㍤㈵ㅣ捦昲慤〵换㕦捣搸搳攸愸搴㘷ㅦ昱挴㘱挳㤹ㄵ〷つ㕢㘸昶㥥慡㔵㑡〷㑦慡敢捡愸㡢昸挴攴昲昳愳㥥㍤㍥㘷戸㜲㐶ㅥ㌷㈶愱敥㙥户搸㔸昷搲昶晤㜲敡㜲〴昶㜹㜹晢㝡㈸㌹㙡戸戵㥡挳敤㙢㠶㡢㙦㥣挱戵敤敢挷昶愸戱捤搵敤摢挸慤㙣慣慤昴㠴昴㉤㜷ㄴ㡢搱㌳〴摤〴㔹〲㈲㔰捦ㄱ昴㄰昴〲㈸改㝦㠲㑢攲つ㔹愴ㄶっ戵㌰愳ㄶ㡡㙡愱愴ㄶ㠴㕡㌰搵挲慣㕡㤸㔳ぢ㤶㕡㌸愶ㄶ㡥愳㑥昴㘴扢扢搵昰㜹改改㝦㕣昵㥢㝦晤㘸攲〵㙢晥搵㝦晦晥敤ㅦ昶慥㐳愵摢挳㐹㑤戸挶〹㤰㕡㥤㡡户攵户昲捦昲㕣〱愶㌰㜷㤸搷㥢㈳㈳愵ㅤ㕢㡤敤㠶挶㘵㈵㈰扦㠱㔰〶㔰户搷扣挳㜲㑡㤵ㄳㄲ㜷攷㡦ㄹ㥥愸㙦摣㜰㔸㌶㔶愹㍡㈵敦扣愵ぢ愷㝣挳ㄷ攷㌶㤷搵㍢㘹㘹㌶〵戶ㄲ㥥ㅣ敦挲收㘶㐷㡤㜲㔵㡣㥥戴㠲攲ぢ㥡㡡敤㐹户㌲搳扥㜴户㉢敥慤㤵戶捣㘸ㄴ㐲㙤㐱昶摤戲捡愰㈸㤸搷搰昸㕣挵ㄳ㡥㥣摥戰㍤㘹ㄵ㡦ぢ㜷㑡㔰㈴㡡㤲㕣敡㐶ㄶ㠵㕣㍦㝣挸挱㐲挱慤愵㑢攲戹收㉤㈷㝤㌰戳㈸㘱扥昳挲昵ㄷ愷㡤㤹戲搸搴㔰㈵ㄸㄳ〵㥢ㅢ戲㜷㔷㡡㔵㙦扣攲昸㙥愵摣㔸㌲㕡㕡㌰㈰㘹㑡〷㉡㈵㤱㑥愷愴㔰㠰挰敤敡㔲㤴搴㌵敤㜹㐱㈲㈲㠶㘲㌲昲㌹㡤㘴㤷㍦㡣搵㘱ㄵ㘵㐱㥡㔴㉦㕢愶㌳捥㔷捡㤸〴づ㡣慤㠹晡㠳㠳㕥戵㑣户㌵捣㝤戰㤵㔵㜵㌰㕣晤㉤ぢ挲昱昷ㅡ㑥愹㉣摣㐴敤愷㜰㐶㝡㍦㠰㜶ㅡ〲愱敤敥㔱搵㈹㈷㤵㐵敤㠴㔵昲攷㌲㜳挲㥡㥤昳㤱〷つ㤹捤㜲㙢㕢ㅥ晤㉣㘴改敢〹〶〱㜲戹㔴㘶〳㉢㘵㜲㜸㔲ㅡ愵㔳〲㉦㌷〸㜲戶㙢攰攵㕥㜳户㔵昶㐵㈰㤴晢㑤㘰㈴搰㙡ㄲ㝤㝤㈴㔱搷㈸〶ち㘳㠳㌹づ㉡㌵㉣挷㕦慣昳㙤ぢ㤷〴㐴戴㈶ぢ㔶㥤㉣愰㈸㘸㤴〷〹扣〶愲㘹㤲〶挹㤵㘳㐴㐴㌶㐸搰散攸戹㤱挸㔸㍦㐱㐶愰㝥㥣〸㔹㝢㙢㝢ㄹ㐱㘲㙦㈵㔲㌶㙡换㡦㙢搲㙣㈹㕢㍥㤰㘶ㅢ戱㜱晡㈶㠲戳〹捥㈱搸っ愰晣ㄹㄲ㡥㔲づ改挶㐷㍦て敦晡昹〴ㄷ〰㐰㍥改㤴㌹愱愸愲つ戵ㄲ㍢㤲昵晡㘰㈷㑢愳㌸㄰㐵戴㡣㙢㜶㘶㥦㉤ㄱㅤ㕡㥤慢㐳搷愶愵㡥扤愲㍤㙤挶㤷㐳㡡㑣愸ㅡ㕦敢㌲㔵攳ㅢ挱慡ㅤ敡慤㡢搰㔴ㅦ㈲戸ㄸ㈰㔰㉣㌴㜶㔷㘶捤搳㥣晣㔰㤸㐴㠱㈱搴愱㜲て㠹㤸收㝦㠲㠰㙢㌹扡慣搹捦㌴〵㠷捤て扤晤扣愵㍤㙦㠷㐸㙦搲㤹㙢㍡㠷扥愲昷㘸㐱㕦〲昶㔲晥搰㔶扦㕣㠶㘲晤㜲㠲㉢〰㥡昴ぢ㑦摥敦搵㑢㈰㑤㘲㍢㠶戹昵昴戸㐸ぢ㜷㝡㜱㕥㐸敤搳㙢㑥ㅢ敥慣昰攱扤搸㌷〱㍢戸攲扡愲㡣〳㙤㐹㘶昰散㜲㜶㘳愶户摢慤搸捣㕦戳㡦扤て㠵㘲㐸愷搵慥㔴㤳㝤㥣㘰㘷挶晣㑤㌱捡愱晥摤摥㕥㐸挴ㅡ㌵㤲ㄷ摢㈵㥦㉤搷㈴㐹〷㤲攴㉡㙣慢㝥㌵〰愴㠴昲摢戶ㄲ㘵㤸搵戶挸㙡㡤搶㉡扤㝢〹㈷㤳㈶晦㘱㡢ㅣ改〹㥣戵㘳昰ㅤ㜸㝤昶㤴㘵搷㠴㐵㡦㍤㈹摣㈲晣ち㔶㔹攴〲㤷㉣㐵捤㥡慣昸㤰挸㡡慥慥㤶戳㜴㠲㙦㑤搲㐹㤳㤴㐸攴昶挴挲㠴㜳㜸㥤愸攸㠲愴㔰㐹㜰ぢ搵㈴㄰㈹㡦㜵搷㐴㑣〷㈲㈶㡦㡤搳慦㈵搸㑡㌰〲愰晤ち㤲㘶愵ㅢ捦㔰㔸昷〲摤搹㠵㐲㉡㑢㌴㐸昷攰敢㙤㠵搵㜵ㅣ㘶〷挱㐷〰㥡捣ㅦ㍡ㅦㄳ〸㔱愲㍣㐶㠸戴㤶㜴昳愸㈵㑥㤰〶搶㤹〸㉡㡤㔷㍤扦㘲㌳慡搴㘷㑥㔴づ㔶晣〹换㥢㐷ㄴ㙡搰っㄳ㜷捣〹〷搴攵挲昶㘹捡慢捣捦㡢㤲㙥㑥㔵慡㄰㙤晢㈶㔶挳愱ㅣ敢㠳㉤㈹捦攵慡㠲愷戳戳㌱扡㔰攴㠹ㄸ扥㔶㝡㘲㔷攴昹收愱慦扦扥愳搳㤶㕦ㄶ㍤㘶挰㜴㑣㘷㑤散㈲愲〶愵㙥㜳㝡捥ㄵ㘲愲捦摣攳㕡愵戲攵〸㈲〳㌶㈶〳㜵晢挵㉣㈲〴㤳ㄵ挶晦㉡㑥㥦㌹敤ㅡ㡥㌷㙦㌰㤸戸戸扥攱㑤㠶㐴㌴㜳捣㜲㍣っ㈳戱挸㜴扦㌹㌵㔷㌹㠱㘸㙤搵㜶昶ㄸ昳摥慡挰ち㠹㍥㜸㈴㙡ㄴ㔵㔱㔵㈵慢㘶㍢挵てて攴愹搴㌶晣搲〴ㄲ㔷㈹㡤晥昲〴敤㑤扢㍥㡣捦搰㑥攷㥣㝡ㄱ㌹慡㘵㜶㈵㑡㘱㜲慡㝥〳摢摣〸㜰敢㥥㈳晢敡㔱戹㌳㡡㔷㙢昴昰㈷挸㜸㐹ㄶ戵㈰〸晤㜳敢〲㔲㘱ㅥ㈹〷ㅣ〸㡣昳慤㤹晣㜲愶慣㐳敡㕢㔷㑦敥㐶ㄴ愹搷摣㙦捣㠸㌲㘲搱戶攱慦ぢ㕥㘸挶摡㐶搹ぢ换挶㉢戶㙤㤰戴㐸㤶㔳㐵㠳ㄴ㍣㕡昵㉢〷㉣㐷㌷〱㈴晤㠵㔹挶㐹㘴ㄹ㈷㘵㔶慦㜹㤸㘱㐱㤹㘶㕦㤵㔹挳戵晣㌹摢㉡㘶昹挲搰摤慡愰㐹㌰㌹㈵㙦昴㐴㌲㘳愸挹㥡㍦〲㤳捤换〳摤㜹挸㔱㙥ㅤ搱て捡㔵㤵っ晥㈸ㅤ㍡㤶㈰㘰愴㤷㔴扦〹扤㘹昲㘶〴㐴㡥㝣㑥㐷昷㉦㑥㍦㠰㥣挰㉦㐷慣㈷㤰〸㍣㠲㌱㈱㑦昷㜶挶㍣攲㔸㍥戰㐷㡣敤戶晣〹て㈸〷㐰㔲ㅥ㙦捦㤵㔸㡤㌵ㅡ慥㘹㠵㡢㕡㡢ㅡ搴挴㠵慤攵㜱扤㜱搹ㄲ挵㠱㐶㠹㈹㤲攵㉡㐹捤戲挴ㅣ㔷㤳慡㔱愴攲㡥戴㡤㤲攴㌶慤敦㍢愵挸ㄹ㈸㈶㐹㌳㈹㝤愷㈴ㄴ〴㜹㐹ㅤ搰㔱昴搷㈷㤳㐷㉣㕡㐳ㅢ㈰㐷㍤ㄵ攴昵㠵攱挰㝤戸㜲㔲ㄲ戹昰つ晣扤㉥㑣ㅥ慡晡つ㈵挶挹挱戰㘴戴㕣㍥攴挰㑡㈸ㅡ㙥㘹㤵戰㌴搶ㄶ㘸ㄸ挹㥤㥤㙡晦㘰㝢㘳㡣ㄸ戲㈱㐳㈲〹㝥㘰戰㈱㤸㉢ㄶ㑤愵㜵搶挷慤慥㘵㘷昹㜶㐰ㄸ㡥挴挰㤴㕦㥡㄰ぢ搲っ慢㕢昲㠳戲㐱敤戴㈸攵愸㙥㡥捥㜸㔰改㍥攵㜸㤸㤲っ慥㥢㠷改㤶挲〵〶㠸摤㌰㌵㔹昴ㄱ搶慤㜵挰㤳挱敡挱づ㜶㈴〸㥢搰㍡愳〴捤㈴㄰㙥攳㈲挸㍢ㅤ㘲ㄴ㠲搴㤴捦摦㜷㈹㑦㍥挱攷晢扢㔲㔱㈲㘴㈲㠶扡ㄲ慣〷㈰㌷ㅥ㤵㈴ㄷつ㐶挱昲㐰戲㐹愱搵ㅢ攵搱挴攸愳挹攷晡戸挱挳㌸㔶㍦搹愶㡣㍢㙥扥〵㙤㕡㕥㕣㘷敥㜳㡡攵㙡㐹㐸㔵ㅣ挹㙡愹㤱㔷〵扥攴昵扦㠰㥢ㄲ昶㈵摣㤴㝤㌸㑡㜱挹㐴㔲攷㜶户晥㜱㌴㤷㐲づ㝤〴戲㡤挱挷〴户㥣っ㠶戵摣㔱愰㝤戸扥㝥㜹㐱㕥㥣㠳㐸㙢挹愲㉣摢㡦扢㜸戵〸戲攴戶㔸戵晤㤵晤ㄵ摡散戱慣扤㔶㤰戵㉡㜰㠴㜵〶〲㉦㤳㠱㌱搲㈱㜷戰㤳搴改㌰戲㝢晡〱昹㥡㍡扤㉢㌴㍥ㄴ挶㜷㜹ち㑡㘱㔷挱㐸㌴戸搵扡搵慤㌰昲㑢换㕢扦ㄹ㐰㘱〸㤸〶㉤㙡〶〶捥ㄸ搲换ㅢ㌸っ㐶㈶㐴㐷攳㠱㔴挶㈸〷攱戰〷搲挰㑤㍣㐸㑦㔷愰㠴晣つ昲㔲㔸㜴㉦㜱搸挶ㄱ愸攲㙥㙡捡㥣㌴㝣㕣㝤㜱㌶㌷㘵㡦㤶㑡㌴㜷攱㥦㕢ㄵ㔸挵戵㡤挰ㅣ摤搰㜴㈱㑢慥㠹昶摤愵㑤〵攱㐵挱㙤ㄳ昹扤㠶㕦㥣㥢昲ㄷ㠳㑢㕢㥤㤲㠴昶㔳昸㈳㤶ㅣ㥤㌶㜳摡攱㈵搴〵敥㝤敥戸㔳㌹攱挸㜹㘹ㅥ㙦晣搱㡡搵扢扢㌹挹㕣敡㕤晣㤱㡦㥡搲㕥㐱㡦㉢㤹㌶㍢愸㍢㐸搸㡦㝣〲㘹㌰㠴㜴〲㥤挰㜶慦摤ㄸ㈰㥤㙣㘸愲ㄳ㈹〸搶〸挵㤹㝤摦〸㐵昹〹搰㑡㘲〹㡥攴搸昳攷挰晡捡㡦㤱㐳㠴攳㍤ㄴ㈳摡挵㐸㈵愰㑥ち昲昰㝡〷㉦㠳晣晦㘰㈹攲收㈵搹改扦挰捣捡换捤㈸扡㤰㈸㝡愹ㄵ㐵っ挴扥愷㤰㌷㘷扦㜶搴晣挰慦昵晥て㡦㥡户〲挳㝣愴㌵㠶愰ㅡ㠳昱㌵㘳愰慢挵ㄸ戸ㅣ挵搲ㄸ戸㡤㙤ㄸ慦て㡣㠱搰摢㜱〰ㄹ换ㅢ〳㡣攲㈵㤸㝣戱愰㙡捣㠱挱戳搶㈶㥢㥥戰扤戸㕥㉢㍣㐴敥愱㥥扣㜱昸㥥捥㙥捤㥥㌴㕣挳摥㉣昳昷戸〲㙡换㥤挶㝤㙤搹㠴㉤捥㕤戲㐴㌶㕡挲㉢ㄱ昹搳搷㍣㈷㉢扢愵づ㑣〵㑦攰愸㔷戲㑡收っ㝣㈲ち㑦〸愹㑦㙦昸挱㥥㍦摥昷搰㉥摥㑢ぢ㘹㔵㘳㈰戸㤳攰㍣㉤〷㠴㙦㘳㔷㐲㌶昲昳㥢〳昸㄰挹㥡㉦㡢㌱挳㤵昶㡥愷摢㔱㌲㈰扣ㄸ㘱〶挴户ㅡ㡣㐹摣㜰〸㡣挹㝣㤳㘳㔳㝥扥㈴㥤㠱昹搸挴愵昷㉥ち㄰㉡㙤㔵㔶㠷㜶愵昶〲㤴捥㝢㥣㐸愳㍤挸昳㈵ㅦ㐵㜹扥㔹慢敤愰㔶㤳㘶愲㌲㡣ㅡ㤱㤴㐲愴㠱ㄴㄲ㍦戲㌰昴㉦愵搴㈴ㄲ㕡ㅥ㈰㈱㠶搶ㅣ捣攵挹㝦㑤〸㠸摡昵扥づ㍦㔵挱㉥〲㡢㤱搷扤搳戳㉢慤捥㐸㌵㌱㈸㉢㑦ㅦ户㈳㈱㡦㈹捣㘰㤴㔶收ㅥ㐶㈲㝡戴ㄱ愴㔶散㜸攲㈰㝤㜶㄰㘲ぢㄸ㕢戳改㔵换搹户㌸㔵摣昱㠰㥥挹㐸㠵攱慣㘷㌶㡥㥥㌲ㅡㄷ㔴捤〵㔹㠴晤㐱戲搶愸㈷㉣㠲捥㜲㌶攳晣㠹㌰ㅦ扦〷㘲昹㜰扤敢㡤捤㈵搴㜱㑥㌷ㄶ挸ㅦ散慦ぢㄳㄸㅢ愳㤲㘳㈰㘱㔷㔴㉢ㅢ㕣〲㥦㐲ㄳ㘹捦㉢㝡㍤挹戱ㄴ㠵搱攸㠸戳扡搴ㄶ晤捦㌸戵攴慣㘹搶㘶挰扡㐱晦ㅦ㐵挶戲晡㕦㘱㤴㑤愲散㡥㌰挱ㄷ㡤㤱㤲㘵㠳㌳摣ㄱ昸戰ㄱ愶㤱㐷㘰㕤㈶ㄹ摣づ㔲㔳昸㐴㌵㈸㤶ㄲㅣㅥ慥㜴昳㈵㠸㕡㕢摡戶㍤㙤〵㈰愳㐰摡昷㈰㠲摡戶攷愴㕢捦戱㤹㍢㤱扤攱㠰㔵㜴㉢㕥挵昴㠷愶㄰摥ㅤ攲ㄷ㘶㈶㙣㥥㔱攵戹㘶愱㜶㈹㜶愲昷㉥戴㌹㜸〸〲晢愰昰摦慦愸㈳㘳〸㉢㡢㔹昰㙢愳㠱㔸㈰㠹摡挱㍢换扣扤㙡㤴昱㠱敡㈱㜸㌵㝤㘶慤ち㘵ㄷ昸㤶㥢敦㘲㜰敢㜰ㅢ敢㌶㜸㝥㐴㌹㡦㌰㤸㕣挲㕤㜷㜳㕦㥢昷愰戱㙥戸㌶㡦㌵㍢昳慥攵戴敦〲愷㉢ㅢ愵㤱㘴㌸㈶扦㍢捥改㜷ㄳ㈲捥㐳敦攸捡㕤戱散㙤㄰㜴ㅥ㝥戶㑤㤷搷㜰ㄹ㡥戲ㄵ挴戹㍦㠵愶捡捤〴昸改㠵㌰挱ㄷ㠵晥扣㥢㤸㜸〶换㈲〳㈰㥤捡ㄸ〰敤愹晡㍢㑢㔱戵挲愳〵愹㌰愷㝣ㅢ攵摣愵㘰戵㈵收攱愸㈱㡦㄰㐸敢〲㈰㝡ㄴㅥ㈱攴昸㑦愲㐱㙤晣㔹攴戶ㅦ晦㥢㑢㡥㑦攵㉦搷ㄷ敦㝦㈰㔲ㅥ晡㌱ㄴ敢挷〹捡〴㌶挰㐰愴㐳晡㈹ㄶ㈹㙢㌲㐱㄰攱攵㕤㐸攳昹㜵昸敦㥢扢㕥㝦㡤捦摦㜶㈹㔲㄰愲愸㜱ㄵㄴ㠴㜲ㄵ㡦挵㔷㌱㡦摣昶慢昸摡㔲慢ㄸ愰㡣攴㑣㜴ㄷ愰慦㑢㈱慤挸㔵㜹㐸㜰㐳昹㔳㈴㐲㤱㘸㤸挵〰ㄱ㉢摢㔶㤱㐰㕢敥扣㙣扢㠰㐴搴㜶㈰摡ㅥ㡤㍢㤲昰㉤㡦㌴㤴㜸昷㤱敥㥢㑣攰㝦捤〴敡㌱㙢㠷㡥搷㔵㈱㈴戰㌶㝥ㅣ摢㔶戶㘷㍡っ敡㉢㡦㐶ㄸ摡扢㌷晡㔰㑡つ挳㑣愰㤰挰㌴㈵㐵㜱㈳㤵㉦㐶㤵㥦㝦戱敥㈵㐵〱ㅥ㤰㔱㔰㤹㤴㈷㉢㍦ㄲ㔵摥㠶㡦戰㘴㥤ㄴ㉦つ昰㜹㌳慡㑣ち㤵㤵ㅦ㡥㉡晦㜵摢收㕡攵㠸㈰㠳㥥㌵㔲㑢㠲搱㉢㡦〱戱て戲㜹扡搶㑣㉡搲ㅥ㌳挸愶〸㤵搱攲戲㔴愵扤戸晦攱攲㤳攸晤戸捥㠴㕢ㅦ㤰戶挱晦㡣戰て搷㥣㈶っ摦挰ㄷ捦ぢ㠸㉦扢扡㝣㘳攳㡣㜹挸㐵㐶户戹捦挳攱慡戴慡㐸〴㜶㐱㍡搸摦㘵晣昰〹㌶㘴㝤㍦愲戸㤸捡㙢㈳㥤㘹ㄱㄹ㑢㐹㉢て㐵㤸㑤㥤慡搳㡣晥ㄹ㈰〷昲ㄲ㤰〹晤戳㠰㐱散㘵〳㌳〶㈸〸㈴㤷㥦㐲㐲㝦㤰攰㜳〰㌹㠵㕣㑦㍡挸㝣ㅥ愰㍦晡㝦㈹㠶ㄶ愴攳㐴㔵敥㡦〶㡢㤳㤱晥〵㌶㜸ㄸ愰ぢㅥ㕢㈵㈴挲㥣晥〸㜲攲㠳㔲㠲挸㐱ㅦ㘵挱㤷〸扥っ㤰搳㌸搹ㄵ敦ㅡ搷搴愱ち晢ち㥡㉡摣ち㈹搰扥ㅡ㈶昸愲㥤〲戸愹扤搱捣㌳㜱昴ㅤ㍦愲㥢つㅦ散摦㠲て昰ㄷ戹攸㉥晣晦㈳㥡戴昰搳敡㐷㍢敢㡢㑣愰㜱㍥晣戹搸散㌳攸㠷敢慡ㅢ㥢散昱㘳昸㘵搵㡣昲㈰晥㍤㠵㥦㜲㉦㐶攰㈸㔴戹㔹昸㕢㐸〳戲㘰㍥㉣愰敥搲ㅦ〳㔰㠸㘳攲㐹㝦㥣㙦㐴㉤晢搷扦ㅥ㈶昸愲㄰慦愷㤸㈸㠷捤愳〱㠹㙢㔹㜰扣㘹㐰攲㕦ㄶㅣ㡢て昸つ攴㉡ㄲ㔹㐸㌴慡㈷㈲㉤捤摣㈷〰晡扡晡㌹㌷慡㍢昵愴㔲扣愷㜴捦㍤㙦昷愷㠷捥㑤㝦攲收摥㈷摥㝣昵慤挷摦昸攴捥扦扣昳搴㔳㙦晣改昱搷摥㜹㘵㘶攷㉦㥥㝤昶攷户㍥晤摡㕢敢捤㘷搴ㄷ摦摥晦捣晤㈳挷敦扦搷㍣㜲捤㥥晢敦㍣㜶晢挸攴㔹挳㕤㕤摤摤㔷づ晥昲㥣慢〶㑥摤晢㤲昲戳摦㥤敤㈸㜲戹ㅣ㔰〰㐴捦〰㤷㉤愷昱㉤㈴㌰つ捥昸〳㥤〶㤷㝢ち㍦愵ㄴ㙥搴ㄸ㕥戲㜰㙥㜰〲戲愰搸㔸搰昳ㅦ搳〰戶㔱</t>
  </si>
  <si>
    <t>Tissue Type</t>
  </si>
  <si>
    <t>Rare</t>
  </si>
  <si>
    <t>Frequent</t>
  </si>
  <si>
    <t>Weight</t>
  </si>
  <si>
    <t>D-Blood</t>
  </si>
  <si>
    <t>R-Blood</t>
  </si>
  <si>
    <t>Bucket</t>
  </si>
  <si>
    <t>D-Tissue</t>
  </si>
  <si>
    <t>R-Tissue</t>
  </si>
  <si>
    <t>DonorT</t>
  </si>
  <si>
    <t>DonorB</t>
  </si>
  <si>
    <t>RecipientB</t>
  </si>
  <si>
    <t>RecipientT</t>
  </si>
  <si>
    <t>Maximize</t>
  </si>
  <si>
    <t xml:space="preserve"> </t>
  </si>
  <si>
    <t>Pairs</t>
  </si>
  <si>
    <t>D6-R6</t>
  </si>
  <si>
    <t>D7-R7</t>
  </si>
  <si>
    <t>D8-R8</t>
  </si>
  <si>
    <t>D9-R9</t>
  </si>
  <si>
    <t>D10-R10</t>
  </si>
  <si>
    <t>D11-R11</t>
  </si>
  <si>
    <t>D12-R12</t>
  </si>
  <si>
    <t>D13-R13</t>
  </si>
  <si>
    <t>D15-R15</t>
  </si>
  <si>
    <t>D14-R14</t>
  </si>
  <si>
    <t>D16-R16</t>
  </si>
  <si>
    <t>D17-R17</t>
  </si>
  <si>
    <t>D18-R18</t>
  </si>
  <si>
    <t>D19-R19</t>
  </si>
  <si>
    <t>D20-R20</t>
  </si>
  <si>
    <t>Blood Feasibility</t>
  </si>
  <si>
    <t>Tissue Feasibility</t>
  </si>
  <si>
    <t>Pair Feasibility</t>
  </si>
  <si>
    <t>Total Feasible Pairs</t>
  </si>
  <si>
    <t>Feasible Pairs %</t>
  </si>
  <si>
    <t>Donor Pair Name</t>
  </si>
  <si>
    <t>Receiver Pair Name</t>
  </si>
  <si>
    <t>Receiving Pair</t>
  </si>
  <si>
    <t>Donating Pair</t>
  </si>
  <si>
    <t>Net Flow</t>
  </si>
  <si>
    <t>Count</t>
  </si>
  <si>
    <t>Each pair can only donate one kidney</t>
  </si>
  <si>
    <t>0504037a-c1ac-4b7f-9f0e-6ead50240234</t>
  </si>
  <si>
    <t>㜸〱敤㕣㕢㙣ㅣ搵ㄹ摥ㄹ敦慣㜷搶㜶㙣攲〴〸㔷㜳扦㌸㕡攲㐰ち㤴愶挱㤷摣㈰㠹㥤搸〹㈰㑡㤷昱敥ㄹ㝢㤲㥤㔹㌳㌳敢挴㤴㤶搰㔲㈸㉤㔵〵㝤愰㔰摡㈲㔴愱㔶慡慡搲〷〴㉤㝤愸㠴搴慡㠲慡て愸㔲ㅦ㉡㔱㔴戵て㔴㈸㔲㕦㜸㐰愲摦㜷㘶㘶㜷㜶搷㍢㌶ぢ戴愶昲㈴晢攷捣戹㥦昳㕦捦晦㥦㐹㑡㐹愵㔲ㅦ攰攱扦㝣搲㑣㕣㌰扤攴昹挲捥㡦㔷捡㘵㔱昴慤㡡攳攵㐷㕤搷㔸㍡㘰㜹㝥ㄷ㉡㘴ちㄶ捡㍤慤攰㔹昷㡢㙣㘱㔱戸ㅥ㉡㘹愹㔴㌶慢慢㈸㘷㈷晣つ㐴㉦㍡㕢昵愶〱㘶挶挷㈶㘷㡦愳搷㘹扦攲㡡慤㐳挷㠲戶㍢㐷㐶昲㈳昹敢㙦摣㜶㔳㝥摢搶愱昱㙡搹慦扡㘲愷㈳慡扥㙢㤴户づ㑤㔵㘷换㔶昱㜶戱㌴㔳㌹㈱㥣㥤㘲㜶摢昵戳挶つ㌷㡤摣戰㘳㠷㜹昳捤㌷昵㘲攸搴愱昱戱㈹㔷㤸摥挷搴愷挶㈹摦㌰㈱㡡ㄶ搷㈶㠴㙢㌹㜳昹昱㌱晣㡤捤ㅦ㙦㌷收愷攷㠵昰㌹戴㜰㠵㔳ㄴ㥥㡥㠶㍤昶愸攷㔵敤〵㙥㥥㙥敦挱㔲㡢㠶攷㙢昶戸㈸㤷㜵㍢敡㌵㙢㑦㘲敦捡挶㔲慦㍤㉤ㅣ捦昲慤㐵换㕦捡搸㌳攸愸搴㘷ㅦ昵挴ㄱ挳㤹ㄳ㠷っ㕢㘸昶摥慡㔵㑡〷㑦慡敢慡愸㡢昸挴攴昲昳愳㥥㍤㍥㙦戸㜲㐶ㅥ㌷㈶愱敥ㅥ户搸㔸昷戲昶晤㜲敡㜲〴昶㜹㐵晢㝡㈸㌹㘶戸戵㥡挳敤㙢㠶㡢㙦㥣挱㜵敤敢挷昶愸戱捤㌵敤摢挸慤㙣慣慤昴㠴昴㉤㜷ㄴ㡢搱㌳〴摤〴㔹〲㈲㔰捦ㄱ昴㄰昴〲㈸改㝦㠳㑢攲つ㔹愴ㄶっ戵㌰慢ㄶ㡡㙡愱愴ㄶ㠴㕡㌰搵挲㥣㕡㤸㔷ぢ㤶㕡㌸慥ㄶ㑥愰㑥昴㘴扢扢搵昰㜹攴搱㔷ㅥ晦搹搲扢㤳捦晤攲愹搷㉥ㅢ㝤攷捥摥つ愸㜴㌸㥣搴㠴㙢㥣〴愹搵愹㜸㝢㝥ㅢ晦慣捣ㄵ㘰ち㜳㠷㜹愳㌹㌲㔲摡戱捤戸摥搰戸慣〴攴㌷㄰捡〰敡昶㥡㜷㔸㑥愹㜲㔲攲敥㠲㌱挳ㄳ昵㡤ㅢづ换挶㉡㔵愷攴㥤扦㝣攱戴㙦昸攲扣收戲㝡㈷㉤捤愶挱㔶挲㤳攳㕤搴摣散㤸㔱慥㡡搱㔳㔶㔰㝣㘱㔳戱㍤攵㔶㘶摢㤷敥㜱挵㝤戵搲㤶ㄹ㡤㐲愸㉤捡扥㕢㔶ㄹㄴ〵昳ㅡㅡ㥦慦㜸挲㤱搳ㅢ戶愷慣攲〹攱㑥ぢ㡡㐴㔱㤲㑢摤捣愲㤰敢㠷㈷ㅤ㉣ㄴ摣㕡扡㌴㥥㙢敥㍥攵㠳㤹㐵〹昳㕤㄰慥扦㌴㘳捣㤶挵搹つ㔵㠲㌱㔱戰愵㈱㝢㑦愵㔸昵挶㉢㡥敦㔶捡㡤㈵愳愵㐵〳㤲愶㜴戰㔲ㄲ改㜴㑡ち〵〸摣慥㉥㐵㐹㕤摢㥥ㄷ㈴㈲㘲㈸㈶㈳㥦摢㐸㜶昹㈳㔸ㅤ㔶㔱ㄶ愴㐹昵昲ㄵ㍡攳㝣愵㡣㐹攰挰搸㥡愸㍦㌸攸搵㉢㜴㕢挳摣㈷㕢㔹㔵〷挳搵敦㕥ㄴ㡥扦捦㜰㑡㘵攱㈶㙡㍦㠵㌳搲晢〱戴㌳㄰〸㙤㜷㡦慡㑥㌹愵㉣㘹㈷慤㤲㍦㥦㤹ㄷ搶摣扣㡦㍣㘸挸㙣㤶㕢摢昲攸㘷㈱㑢摦㐸㌰〸㤰换愵㌲㥢㔸㈹㤳挳㤳搲㈸㥤ㄲ㜸戹㐱㤰戳㕤〳㉦昷㥡㝢慣戲㉦〲愱摣㙦〲㈳㠱㔶㤳攸敢㈳㠹扡㐶㌱㔰ㄸ㥢捣㜱㔰愹㘱㌹晥㔲㥤㙦㕢戸㈴㈰愲㜵㔹戰收㘴〱㐵㐱愳㍣㐸攰㌵㄰㑤㤳㌴㐸慥ㅣ㈳㈲戲㐱㠲㘶㐷捦㡤㐴挶晡〹㌲〲昵攳㐴挸摡摢摡换〸ㄲ㝢㉢㤱戲㔱㕢㝥㕣㤷㘶换搹昲㠱㌴摢㡣㡤搳捦㈶㌸㠷攰㕣㠲㉤〰捡㍦㈰攱㈸攵㤰㙥㝣昴昳昱慥㕦㐰㜰㈱〰攴㤳㑥㤹ㄳ㡡㉡摡㔰慢戱㈳㔹慦て㜶戲㌴㡡〳㔱㐴换戸㘶㘷昶搹ㄲ搱愱搵戹㌶㜴㙤㕡敡搸㉢摢搳㘶㝣㌹愴挸㠴慡昱戵慥㔰㌵扥ㄱ慣摡愱摥扡ㄸ㑤昵㈱㠲㑢〰〲挵㐲㘳㜷㜵搶㍣捤挹㑦㠵㐹ㄴㄸ㐲ㅤ㉡昷㤰㠸㘹晥㈷〸戸㤶愳换扡晤㑣㔳㜰搸晣搴摢捦㕢摢昳㜶㠸昴㈶㥤戹慥㜳攸㉢晡㤰ㄶ昴愵㘰㉦攵慦㙤昵换攵㈸搶慦㈰戸ㄲ愰㐹扦昰攴晤㘱扤〴搲㈴戶㘳㤸摢㐸㡦㡢戴㜰㘷㤶ㄶ㠴搴㍥扤收㡣攱捥〹ㅦ摥㡢晤ㄳ戰㠳㉢慥㉢捡㌸搰㤶㘴〶捦㉥攷㌴㘶㝡㝢摣㡡捤晣㜵晢搸晢㔴㈸㠶㜴㕡敤㑡㌵搹挷〹㜶㘶捣摦ㄴ愳ㅣ敡摦敢摢ぢ㠹㔸愳㐶昲㘲扢攴戳攵扡㈴改㐰㤲㕣㡤㙤搵慦〱㠰㤴㔰晥摣㔶愲っ戳摡㔶㔹慤搱㕡愵㜷㉦攱㘴搲攴㍦㙣㤱㈳㍤㠱戳㜶っ扥〳慦捦㥥戶散㥡戰攸戱愷㠴㕢㠴㕦挱㉡㡢㕣攰㤲愵愸㔹㤷ㄵ㥦ㄲ㔹搱搵搵㜲㤶㑥昰慤㐹㍡㘹㤲ㄲ㠹摣㥥㔸㤸㜰づ慦ㄳㄵ㕤㤰ㄴ㉡〹㙥愱㥡〴㈲攵戱敥扡㠸改㐰挴攴戱㜱晡㜵〴摢〸㐶〰戴㍦㐲搲慣㜶攳ㄹち敢㕥愴㍢扢㔰㐸㘵㠹〶改ㅥ㝣愳慤戰扡㠱挳散㈰昸っ㐰㤳昹㐳攷㘳〲㈱㑡㤴挷〸㤱搶㤲㙥ㅥ戳挴㐹搲挰〶ㄳ㐱愵昱慡攷㔷㙣㐶㤵晡捣㠹捡愱㡡㍦㘱㜹ぢ㠸㐲つ㥡㘱攲㡥㜹攱㠰扡㕣搸㍥㑤㜹㤵㠵〵㔱搲捤改㑡ㄵ愲㙤晦挴㕡㌸㤴㘳㝤戰㈵攵戹㕣㔵昰㜴㜶㌶㐶ㄷ㡡㍣ㄱ挳搷㑡㑦散慡㍣摦㍣昴昵搷㜷㜴挶昲换愲挷っ㤸㡥改慣㠹㕤㐴搴愰搴㙤捥捣扢㐲㑣昴㤹㝢㕤慢㔴戶ㅣ㐱㘴挰挶㘴愰敥㠰㤸㐳㠴㘰慡挲昸㕦挵改㌳㘷㕣挳昱ㄶっ〶ㄳ㤷㌶㌶扣挹㤰㠸㘶㡥㔹㡥㠷㘱㈴ㄶ㤹敥㌷愷攷㉢㈷ㄱ慤慤摡捥㕥㘳挱㕢ㄳ㔸㈱搱〷㡦㐴㡤愲㉡慡慡㘴搵㙣愷昸攱㠱㍣㤵摡㡥㕦㥡㐰攲㉡愵搱㕦㥥愰扤㘹搷㠷昱ㄹ摡改㥣㔳㉦㈲㐷戵捣慥㐴㈹㑣㑥搵㙦㘲㥢㥢〱㙥摢㝢㜴㝦㍤㉡昷㤱攲搵ㅡ㍤晣〹㌲㕥㤲㐵㉤〸㐲晦摣㠶㠰㔴㤸㐷捡〱〷〲攳㝣㙢㈶扦㥣㈹敢㤰晡㌶搴㤳㝢㄰㐵敡㌵てㄸ戳愲㡣㔸戴㙤昸ㅢ㠲ㄷ㥡戱戶㔱昶挲戲昱㡡㙤ㅢ㈴㉤㤲攵㜴搱㈰〵㡦㔶晤捡㐱换搱㑤〰㐹㝦㘱㤶㜱ち㔹挶㈹㤹搵㙢ㅥ㘱㔸㔰愶搹㔷㘵捥㜰㉤㝦摥戶㡡㔹扥㌰㜴户㈶㘸ㄲ㑣㑥挹ㅢ㍤㤱捣ㄸ㙡戲收㡦挲㘴昳昲㐰㜷ㅥ㜲㤴㕢㐷昴㠳㜲㔵㈵㠳㍦㑡㠷㡥㈵〸ㄸ改㈵搵㙦㐱㙦㥡扣ㄹ〱㤱㈳㥦㌳搱晤㡢㌳て㈲㈷昰换ㄱ敢〹㈴〲㡦㘰㑣挸搳扤㥤㌱㡦㍡㤶て散ㄱ㘳㝢㉣㝦挲〳捡〱㤰㤴挷摢昳㈴㔶㘳㡤㠶㙢㕡攱攲搶愲〶㌵㜱㔱㙢㜹㕣㙦㕣扥㑣㜱愰㔱㘲㡡㘴愵㑡㔲戳㉣㌳挷戵愴㙡ㄴ愹戸㈳㙤愳㈴戹㑤敢晢㑥㈹昲ㄱㄴ㤳愴㤹㤴扥㔳ㄲち㠲扣愴づ攸㈸晡敢㤳挹㈳ㄶ慤愱つ㤰愳㥥ち昲晡挲㜰攰㝥㕣㌹㈹㠹㕣昸〶晥摥㄰㈶㈷慢㝥㐳㠹㜱㙡㌰㉣ㄹ㉤㤷㈷ㅤ㔸〹㐵挳㉤慤ㄱ㤶挶摡〲つ㈳戹戳㔳敤ㅦ㙣㙦㡣ㄱ㐳㌶㘴㐸㈴挱てっ㌶〴㜳挵愲愹戴捥晡戸搵戵散㉣摦づち挳㤱ㄸ㤸昶㑢ㄳ㘲㔱㥡㘱㜵㑢㝥㔰㌶愸㥤ㄶ愵ㅣ搵捤搱㔹て㉡摤愷ㅣて㔳㤲挱㜵昳〸摤㔲戸挰〰戱ㅢ愶愶㡡㍥挲扡戵づ㜸㌲㔸㍢搸挱㡥〴㘱ㄳ㕡㘷㤴愰㤹〴挲㙤㕣〴㜹愷㐳㡣㐲㤰㥡昲㜹㜷㤷昲捣搳㝣㝥扡㉢ㄵ㈵㐲㈶㘲愸㉢挱㝡〰㜲攳㔱㐹㜲搱㘰ㄴ㉣て㈴㥢ㄴ㕡扤㔱ㅥ㑤㡣㍥㥡㝣慥㡦ㅢ㍣㡣㘳昵㤳㙤捡戸攳收㕢搰愶攵愵つ收㝥愷㔸慥㤶㠴㔴挵㤱慣㤶ㅡ㜹㑤攰㑢㕥晦ぢ戸㈹㘱㕦挲㑤搹㡦愳ㄴ㤷㑣㈴㜵㙥㜷敢㥦㐷㜳㈹攴搰㐷㈰摢ㄸ㝣㑣㜰换挹㘰㔸换ㅤ〵摡㠷ㅢ敢㤷ㄷ攴挵㌹㠸戴㤶㉣捡戲〳戸㡢㔷㡢㈰㑢㙥㡢㔵㍢㔰㌹㔰愱捤ㅥ换摡㘷〵㔹㙢〲㐷㔸㘷㈰昰㌲ㄹㄸ㈳ㅤ㜲〷㍢㐹㥤〹㈳扢㘷ㅥ㤴慦愹㌳扢㐲攳㐳㘱㝣㤷愷愰ㄴ㜶ㄵ㡣㐴㠳㕢慤㕢摤ち㈳扦戴扣昵㕢〱ㄴ㠶㠰㘹搰愲㘶㘰攰㡣㈱扤戲㠱挳㘰㘴㐲㜴㌴ㅥ㐸㘵㡣㜲㄰づ㝢㈰つ摣挴㠳昴㑣〵㑡挸摦㈴㉦㠵㐵昷ㄲ㠷㙤ㅣ㠱㉡敥搹㑤㤹㔳㠶㡦慢㉦捥㤶愶散搱㔲㠹收㉥晣㜳㙢〲慢戸戶ㄱ㤸愳㥢㥡㉥㘴挹㌵搱扥扢慣愹㈰扣㈸戸㝤㈲扦捦昰㡢昳搳晥㔲㜰㘹慢㔳㤲搰㝥〳㝦挴戲愳搳㘶㑥㍢扣㠴扡挸扤捦㥤㜰㉡㈷ㅤ㌹㉦捤攳㡤㍦㕡戱㝡㜷㌷㈷㤹㑢㝤㠰㍦昲㔱㔳摡慢攸㜱㌵搳㘶〷㜵〷〹晢㤱㑦㈰つ㠶㤰㑥愰ㄳ搸敥戵ㅢ〳愴㤳㑤㑤㜴㈲〵挱㍡愱㌸㜳ㅦㅢ愱㈸扦〶㕡㐹㉣挱㤱ㅣ㝢晥〲㔸㕦昹ㄵ㜲㠸㜰扣㠷㘲㐴扢〴愹〴搴㐹㐱ㅥ㕥敦攰㘵㤰晦ㅦ㉣㐵摣扣㉣㍢晤ㄷ㤸㔹㜹愵ㄹ㐵ㄷㄱ㐵㉦户愲㠸㠱搸てㄵ昲收散搷㡦㥡㥦昸戵摥晦攱㔱昳㌶㘰㤸㡦戴挶㄰㔴㘳㌰扥㘶っ㜴戵ㄸ〳㔷愰㔸ㅡ〳户戳つ攳昵㠱㌱㄰㝡㍢づ㈲㘳㘵㘳㠰㔱扣〴㤳㉦ㄶ㔴㡤㌹㌰㜸搶㍡摢愶㈷㙣ㅦ慥搷ちて㤱㝢愸㈷㙦ㅣ扥愷㜳㕡戳愷っ搷戰户挸晣扤慥㠰摡㜲㘷㜰㕦㕢㌶㘱㡢昳㤶㉤㤱㡤㤶昱㑡㐴晥昴㜵捦挹敡㙥愹〳㔳挱ㄳ㌸敡㤵慣㤲昹〸㍥ㄱ㠵㈷㠴搴㤷㌶晤㝣敦摦敥㝦㜸ㄷ敦愵㠵戴慡㌱㄰摣㐹㜰㥥㤶〳挲户戱㉢㈱㥢昹昹捤㐱㝣㠸㘴㉤㤴挵㤸攱㑡㝢挷搳敤㈸ㄹ㄰㕥㡣㌰〳攲㕢ぢ挶㈴㙥㌸〴挶㘴扥挹戱㈹㍦㕦㤲捥挰㝣㙣攲搲㝢ㄷ〵〸㤵戶㉡慢㐳扢㔲晢㈵㤴捥㠷㥣㐸愳㍤挸昳㈵ㅦ㐵㜹戱㔹慢敤愰㔶㤳㘶愲㌲㡣ㅡ㤱㤴㐲愴㠱ㄴㄲ㍦戲㌰昴㉦愵搴ㄴㄲ㕡ㅥ㈰㈱㠶搶ㅣ捣攵挹㝦㕤〸㠸摡昵扥づ㍦㔵挱㉥〲㡢㤱搷扤搳戳㉢慤捥㐸㌵㌱㈸㉢㑦ㅦ㠷㤱㤰挷ㄴ㘶㌰㑡㉢㜳㡦㈰ㄱ㍤摡〸㔲慢㜶㍣㜱㤰㍥㍢〸戱〵㡣慤搹昴慡攵散摤㑥ㄵ㜷㍣愰㘷㌲㔲㘱㌸ㅢ㤹㡤愳愷㡣挶〵㔵㜳㐱ㄶ㘱㝦㤰慣㌵敡〹㡢愰戳㥣㉤㌸㝦㈲捣挷敦㠱㔸㍥㕣敦㝡㜳㜳〹㜵㥣搳㡤〵昲〷晢敢愲〴挶挶愸攴ㄸ㐸搸㔵搵捡〶㤷挰愷搱㐴摡昳㡡㕥㑦㜲㉣㐵㘱㌴㍡攲慣㉥戵㐵晦㌳㑥㉤㌹㙢㠶戵ㄹ戰㙥搰晦挷㤰戱愲晥㔷ㄸ㘵㤳㈸扢㈳㑣昰㐵㘳愴㘴挵攰っ㜷〴㍥㙣㠴㘹攴ㄱ㔸㤷㐹〶户㠳搴㌴㍥㔱つ㡡愵〴㠷㠷㉢摤㝣〹愲搶㤶戶㙤㑦㕢〱挸㈸㤰昶ㄳ㠸愰戶敤㌹改搶㜳㙣收㉥㘴㙦㍡㘸ㄵ摤㡡㔷㌱晤愱㘹㠴㜷㠷昸㠵㤹〹㥢㘷㔴㜹愱㔹愸㕤㠶㥤攸扤ㅢ㙤づ㑤㐲㘰ㅦㄲ晥挷ㄵ㜵㘴っ㘱㜵㌱ぢ㝥㙤㌴㄰ぢ㈴㔱㍢㜸㘷㤹㠷慢㐶ㄹㅦ愸㑥挲慢改㌳㙢㑤㈸扢挰户摣㝣ㄷ㠳㕢㠷摢㔸户挳昳㈳捡㜹㠴挱攴ㄲ敥扥㠷晢摡扣〷㡤㜵挳戵㜹慣搹㤹㜷㉤愷晤ㄸ㌸㕤摤㈸㡤㈴挳㌱昹摤㜱㑥扦㠷㄰㜱ㅥ㝡㐷㔷敦㡡㘵㙦㠳愰昳昰戳㙤扡扣㠶换㜰㤴慤㈲捥晤㐵㌴㔵㙥㈵挰㑦㉦㠴〹扥㈸昴攷摤挲挴㜳㔸ㄶㄹ〰改㔴挶〰㘸㑦搵㍦㕣㡥慡ㄵㅥ㉤㐸㠵㌹攵〷㈸攷㉥〵慢㉤㌱て㐷つ㜹㠴㐰㕡ㄷ〰搱愳昰〸㈱挷㝦〶つ㙡攳捦㈱户晤昸摦㕢㜶㝣㉡㝦戹扥㜸晦〳㤱昲搰㡦愳㔸㍦㐱㔰㈶戰〱〶㈲ㅤ搲㑦戱㐸㔹㤳〹㠲〸慦散㐲ㅡ捦㥦挲㝦摦摡昵挶敢㝣晥戵㑢㤱㠲㄰㐵㡤慢愰㈰㤴慢㜸㈲扥㡡〵攴戶㕦挵㜷㤶㕢挵〰㘵㈴㘷愲扢〰㝤㕤ち㘹㐵慥捡㐳㠲ㅢ捡㥦㈲ㄱ㡡㐴挳㉣〶㠸㔸搹戶㡡〴摡㜲攷㘵摢㐵㈴愲戶〳搱昶㘸摣㤱㠴㙦㜹愴愱挴扢㡦㜴摦㘴〲晦㙢㈶㔰㡦㔹㍢㜴扣慥〹㈱㠱戵昱攳搸戶戲㍤搳㘱㔰㕦㜹㉣挲搰扥㝤搱㠷㔲㙡ㄸ㘶〲㠵〴愶㈹㈹㡡ㅢ愹㝣㈳慡晣攲㑢㜵㉦㈹ち昰㠰㡣㠲捡愴㍣㔹昹搱愸昲㜶㝣㠴㈵敢愴㜸㘹㠰捦㕢㔱㘵㔲愸慣晣㐸㔴昹㥤敤㕢㙡㤵㈳㠲っ㝡搶㐸㉤〹㐶慦㍣〶挴㍥挸收改㕡㌳愹㐸㝢捣㈰㥢㈲㔴㐶㡢换㔲㤵昶攲晥㠷㡢㑦愲て攰㍡ㄳ㙥㝤㐰摡〶晦㌳挲㝥㕣㜳㥡㌰㝣〳㕦㍣㉦㈲扥散敡昲㡤㡤㌳收愴㡢㡣㙥㜳扦㠷挳㔵㘹㑤㤱〸散㠲㜴戰扦㉢昸攱ㄳ㙣挸晡㝥㐴㜱㌱㤵搷㐶㍡搳㈲㌲㤶㤲㔶ㅥ㡥㌰㥢㍡㕤愷ㄹ晤换㐰づ攴㈵㈰ㄳ晡㔷〰㠳搸换㈶㘶っ㔰㄰㐸㉥㍦㡤㠴晥㄰挱㔷〱㜲ち戹㥥㜴㤰昹ㅡ㐰㝦昴晦㔲っ㉤㑡挷㠹慡㍣㄰つㄶ㈷㈳晤敢㙣昰〸㐰ㄷ㍣戶㑡㐸㠴㌹晤㔱攴挴〷愵〴㤱㠳㍥挶㠲㙦ㄲ㝣ぢ㈰愷㜱戲慢摥㌵慥愹㐳ㄵ昶㌸㥡㉡摣ち㈹搰扥ㅤ㈶昸愲㥤〶戸愵扤搱捣㌳㜱昴ㅤ㍦愲㥢つㅦ散敦挶〷昸㑢㕣㜴ㄷ晥晦ㄱ㑤㕡昸㘹昵戳㥤昵㐵㈶搰㌸ㅦ晥㕣㙣昶㐷攸㠷敢慡ㅢ㥢散昱㜳昸㘵搵㡣昲㄰晥㍤㡤㥦㜲ㅦ㐶攰㈸㔴戹㔹昸㕢㐸〳戲㘰㈱㉣愰敥搲㥦〰㔰㠸㘳攲㐹㝦㤲㙦㐴㉤晢搷扦ㅢ㈶昸愲㄰慦愷㤹㈸㠷捤愳〱㠹㙢㔹㜰愲㘹㐰攲㕦ㄶㅣ㡦て昸ㄴ㜲ㄵ㠹㉣㈴ㅡ搵ㄳ㤱㤶㘶敥搳〰㝤㕤晤㥣ㅢ搵㥤㝡㑡㈹摥㕢扡昷摥昷晡搳㐳攷愵敦扣戵昷改户晥昰昶㤳㙦㝥㘱攷㍦摦㝦昶搹㌷晦晥攴敢敦扦㍡扢昳㜷捦㍦晦摡㙤㍦㝡晤敤㡤收㜳敡㑢敦ㅤ㜸敥㠱㤱ㄳて摣㘷ㅥ扤㜶敦〳㜷ㅤ㍦㍣㌲㜵搶㜰㔷㔷㜷昷㔵㠳扦㍦昷敡㠱搳昷扤慣晣昶㉦攷㌸㡡㕣㉥〷ㄴ〰搱㌳挰㘵换㘹㝣ㅦ〹㑣㠳㌳晥㐴愷挱攵㥥挶㑦㈹㠵ㅢ㌵㠶㤷㉣㥣ㅢ㥣㠰㉣㈸㌶ㄶ昴晣〷昰㈷戴㐸</t>
  </si>
  <si>
    <t>CB_Block_7.0.0.0:2</t>
  </si>
  <si>
    <t>CB_Block_7.0.0.0:3</t>
  </si>
  <si>
    <t>CB_Block_7.0.0.0:4</t>
  </si>
  <si>
    <t>CB_Block_7.0.0.0:5</t>
  </si>
  <si>
    <t>CB_Block_7.0.0.0:6</t>
  </si>
  <si>
    <t>CB_Block_7.0.0.0:7</t>
  </si>
  <si>
    <t>CB_Block_7.0.0.0:8</t>
  </si>
  <si>
    <t>CB_Block_7.0.0.0:9</t>
  </si>
  <si>
    <t>CB_Block_7.0.0.0:10</t>
  </si>
  <si>
    <t>CB_Block_7.0.0.0:11</t>
  </si>
  <si>
    <t>CB_Block_7.0.0.0:12</t>
  </si>
  <si>
    <t>CB_Block_7.0.0.0:13</t>
  </si>
  <si>
    <t>CB_Block_7.0.0.0:14</t>
  </si>
  <si>
    <t>CB_Block_7.0.0.0:15</t>
  </si>
  <si>
    <t>CB_Block_7.0.0.0:16</t>
  </si>
  <si>
    <t>㜸〱扤㕢〹㜴ㄴ㔵扡捥捤㔲攴㈶挰㌴㉥愰攸㡣ㅤㄷ昰戱㘴㠰㉣㉣㉡㑡㐲戳㉦㘱ㄱ〴㤷搸㐹㉡㄰攸愴㘳㜷㠷㑤㐱㐰〵挴〵摣㔰㜰㐳㐵㐰㔰〷㕣㘰〴㕣搰ㄱㄴ㜱㔷㔰挱㜹㡥ぢ扥㠳换㌸㜳收攱戸㡣扣敦敢扥㜷收㤲㕡㑥晡ㅣ捦慢㜳敥㥦扦晥晦慢敦慦慦㙥㜷搷慤扡㌷ㄹ㈲㈳㈳攳㈸㌶晥攵㤶㑤攷搴㜱戳攳〹扢扥戰㍣ㅡ㠹搸搵㠹扡㘸㐳扣㜰㐰㉣ㄶ㥥㍤愲㉥㥥挸〲挰慡慣㐳㍥㥥㔳ㄹ慦㥢㘳攷㔶捥戰㘳㜱㠰㜲㌲㌲㜲㜳㘵㈶昲㈷慢ㄶ搰㍢㤲㐷挹㙣ㅡ愰㌲愴㐵搳㡡㈶㤷㐶搲攴搱攴搳戴愶㘹㐳搳㤶收㌷㌴〱㥡㜶㌴挷搱ㅣ㑦㜳〲捤㠹㌴敤㘹㍡搰㥣㐴挳晡戲㈳捤㈹㌰慤㑦㠵ㄹ㕦㕥㌶扡㙡ㅡ搴㡣㑢㐴㘳㜶户攰㠴搴㌹㥦搷戳㘷㘱捦挲愲摥㍤晡ㄴ昶攸ㄶ㉣㙦㡡㈴㥡㘲昶㜹つ㜶㔳㈲ㄶ㡥㜴ぢ㔶㌴㔵㐵敡慡㠷摢戳挷㐷愷摢つ攷搹㔵㍤㡡慡挲挵㝤㝡ㄶ㤷㤴搴昶敤摢愷昵㙦挱㍣慡扣慣㈲㘶搷挶㝦㉤捥摦㤱㜳㜴㜹㔹攱㈸㍢昱㙢㜱㥥〶㑥㔰づ㡣搶㠷敢ㅡ㝥㈵搲ㅣ昶㘹捦㠱㜶㜵ㅤ㍢摦戶㘳㜵つ㔳ち㜱摡挷㕣㘸散昵㉥〴㘶㐲㌸㔶㙥㐷㈲㘳敤㕡㜶㜸摢晡ぢ攳㜶㜹㔳㍣ㄱ慤ㅦㄵ慥户㕢搷昳〲摡㌱扢愱摡㡥户慤て捤慡戶㈳ちㅤ捦慤挷愱〴㘵搳昹㑤㝤慡ㄳ㠷搶搸つ㠹扡挴散㌶㈴ㅡㅢ㙥㤸㘲ㄳ㤲㔳㍦戸愹慥㈶㈳㍢㕢㘴㘷㘷㘴㠹戳摣捥㉤搹㔵敡㡣㤲㍥扢戰㐵㉡㡥㌹㉤㝥愴捥㘸挶捦㍥ㅢ摤㤸ㄸ㙥挷ㅡ散㠸㉡挱捥散摡っ㤷扣㐶愹慥昸昷挵搲㠲搸㔱㈲㕦㝤晦愸㠶㠵㌲㘴㤰愶〰挶㍡ㅤ㈶㉢㔴搲㔳㥥挱搰㤹㌰㈲晢〰扥挰收㌱晣ㄲ㘵㔶㠶㌳㉢慢㌲㉢慢㌳㉢㙢㌲㉢敤捣捡摡捣捡㈹㤹㤵㔳㌳㉢敢㌲㉢愷㘵㔶㑥〷㐶㙦戹慤㕡㘵慡慤㙡搷昲敡ㄵて㉦ㅣ戸攲㠷㘱㉢ㄷ㐶慦㉦ㄳ晣捥戲愳㌳㘴㈷㥡捥㌰搶搹㌰㔹愱愲㔲昹㕦っ㜵㠱ㄱ攲㝤㥣〳捦愳㜵晥扢㤷挶㑡㝥㔷昶搸㠶㉦扥㝥愸㈱㜰㥦攰昷㍤㐵搰㡤攸敥㌰㔶㈱㘳愱攲扥昲昷っ昵㠰ㄱ攲㑤㐵㌰慤挳㘷㈳捦㠸つㄸ戱昲㤴扤ㅦㅥ晥㝢搳㈳㠲扦ㄵ㈹㠲㕥㐴ㄷ挱㔸挵㡣㠵㝡昷㤲㈵っ㤵挲〸昱慡㈲挸㕦搴愶晦㜷㠳㤷㠶戶㡥挹慤㍤㌴㘱昵搵㠲扦㌳㈹㠲㍥㐴昷㠵戱晡㌱ㄶ㉡㉥㤵攷㌰㜴㉥㡣㄰㉦㈹㠲敦㈶㝣晢昲㥥搳㈳㘵㡦㥦昸㑤㘳挹㠵晤〶〸㝥㘴㔳〴晤㠹㍥ㅦ挶扡㠰戱㔰㜱㑦㌹㠰愱㌲ㄸ㈱㥥㔵〴㘷㕤扡㔰㥣晢昵㍢㈳㔷扥㜴㐲㈲敦扤㈹㍦〹晥扥愵〸〶ㄲㅤ㠲戱〶㌱ㄶ敡摤㐳づ㘶㘸〸㡣㄰㕢ㄵ挱㔷㑦㕣搷㔴㍣慤换挰昵㉢昲㔷㔵戴晥摢㉡挱摦挶ㄴ挱㌰愲㠷挳㔸㈳ㄸぢㄵ昷㤰㈳ㄹㅡ〵㈳挴㘶㐵昰㍦扦㕦㝡昶晡㤳换㐳捦慥ㅦ摥晥攸挰㈷捦ㄲ晣㐸愴〸㉡㠸ㅥ〳㘳㡤㘵㉣㔴搴㔷㡥㘳㘸㍣㡣㄰ㅢ㌵㠱㝤昸戶愳换㘷㤵㍤昰㜲攱㘸晢扡扢攳㠲扦挹㈹㠲〹㐴㑦㠴戱㉥㘲㉣㔴㔴㈴㈷㌱㌴ㄹ㐶㠸㠷ㄵ挱慢て㑦昸攴攳昱㡢〶捦慦㝡㉡愷昱㠴ㄷ㑥ㄳ晣㍤㑦ㄱ㕣㐲昴愵㌰搶㘵㡣㠵㡡㝢挹㑡㠶㉥㠷ㄱ攲㝥㐵㌰戳㍥愳愲㙥晢㔹ㄷ㕣昷搹㑦㤷っ㑡㝣㍢㔶昰㕥㤰㈲愸㈲扡ㅡ挶慡㘱㉣㔴搴㑢摡っ搵挲〸戱㔲ㄱ捣㝦攸㌱ㄹㅣ㌲㘹昸㥡昹昳㕡扤户愹晦㜹㠲昷㤱ㄴ挱㔴愲敢㘰慣㘹㡣㠵㝡昵㤱晣㍥挸〸㡣㄰户㈹㠲敢ㅦ摦㜵㔳攸慦〷㠷摥昲昵㤴㝢㍦扢昹㥢扤㠲昷愰ㄴ㐱〳搱㔱ㄸ慢㤱戱㔰㐹て㜹〵㐳㌱ㄸ㈱㙥㔲〴摦㝦㜰㜰攳捥戵㍢㠶慣敥戳昲戲㈱慤摦晡㑥昰晥㤵㈲㐸㄰摤〴㘳捤㘰㉣㔴搴㐷捥㘴㘸ㄶ㡣㄰㡢㌵㐱昸㕤昱昴搲散戲ㅢㅥ㍣戰㘱昱㤱挱㈷〸摥晢㔲〴㜳㠸扥ㄲ挶扡㡡戱㔰敦㔲㌹㤷愱㜹㌰㐲㉣㔰〴戲㙡㔳扦㙢㥥晢晢戰捤㔷㤶摣戲戲戱昴㜹挱晢㘶㡡㘰㍥搱ぢ㘰慣㠵㡣㠵㡡㡢攵㌵っ㕤ぢ㈳挴㤵㡡㘰晣挱㐳敦㘷ㅤ㝥戹散戹摣㤵㥦㕥晣㡤ㅣ㈴㜸捦㑤ㄱ㉣㈲㝡㌱㡣戵㠴戱㔰敦㥥昲㝡㠶㤶挲〸搱愴〸㕥改昵挵㤱㥤攷戶㉢㝢㘴㘲㠷㜶晢㥥㜹扦㤷攰晤㍡㐵㜰㈳搱㌷挱㔸㌷㌳ㄶ㉡改㈵㤷㌱戴ㅣ㐶㠸愸㈲昸慥愴昶戴戹昳㔶㡦㔸搸晤㤷摡つ㙦慣戴〴敦昵㈹㠲㕢㠹扥つ挶扡㥤戱㔰㜱㤱扣㠳愱ㄵ㌰㐲搴㈹㠲㑦㑦㤸㍢晢戲搳㍥ㄹ㜹挳つ㜷慦㘹户晢ㅦ戵㠲攳㠴ㄴ挱㕤㐴慦㠴戱㔶㌱ㄶ㉡敥㉤敦㘶攸ㅥㄸ㈱慡ㄵ㐱晥㔷敢㙥晤㜲晣昱攵昷敥ㄹ㔸户昴摢㠶摢挵㐹〴愳㘵挸晢㘸敥㠷戱㔶挳㘴㠵㑡㑢攴〳っ㍤〸㈳挴愵㡡攰㠲㌷戶慦摢㍣昳㤳㤱ぢ㍦㥣昳昶ぢ敤扡㤴ぢ㡥㑦㔲〴㙢㠸㝥ㄸ挶㕡换㔸愸愸㠷㕣挷搰㝡ㄸ㈱㈶㉡㠲㔵换晥昵挴㥢㑢㤷㡣摣㜴搵攵㍦㝣戳㙤敤㔶搱㤱㘰戴っ戹㠱㘶㈳㡣昵㈸っ〸㝡换挷ㄸ㝡ㅣ㐶㠸㌱㡡愰㐳㌸昴㜹㥦㑦㡦ㅢ戵愶攰攳戲㘷㝢㉥昹戳攰戸㈸㐵戰㠹攸捤㌰搶ㄳ㡣㠵㑡㝢挹㈷ㄹ㝡ち㐶㠸攱㡡攰㤴㘵㝦㥢㍣昷换㙤攵搷敥ㅣ戱昹愴㥡散ㄷ㜳㠲㐸户散〶㙢〱ㄹ㉣㥦ㅡ㡤摢つ挹ㅢ㙥搷晡㡡扡敡改㜶㙣㥣捤挱愵㕤㌳㉥ㄱ㑥搸㈷ㅡ㈳㠰慥愳ㅢ捡愷昲㥥㕥㜳扡ㄹ慤つ捤㑡搸つ㌵㜶㑤㐵㉣摡㘸挷ㄲ戳挷㠷慢㈲㜶晢㘳㈰〳㌰㕡㥤㘱㈳㜱昲㌱攱㐱搱敡愶㜸㜹戴㈱ㄱ㡢㐶㡥捤っ愸㤹ㄱ挶愸愳㘶㘴戴挶捥挸捡ㄲ㈲㈳昳㜸㜵昷つ捤挰ㄸ㘳㐸戸愱㈶㘲挷㝣㐷挴㠲㐳〸㉢て㕢㐶づ敦搱改㡦㈶㌲㜱㤴㑣づ㕥㌰搴㡣攷搴て㡡挶攲㔹㔹㙥㐵㠷㠴攳㔳ㄳ搴敤㥦㈴摦ㄶ㥡慤㌰㌹㘷挰戴㘴戰挲㡦愵〸㡢㉡㔱㉤㙡㠴摤慡ㅥ㠳㤹㤱㔳㘲㌹挹㌱㕡㑥晤㐰㍢㕥㉤㌹〸ㅢ㡡㑥㤸㘵挱㡢㌴㘱攸挶换㙡捦㑡っっ㈷挲慤敡㉢挲ㄸ挴㈵摡攲㐰攰扡㉡㠲搶㝡㌷㌹搶搳㍢愴ぢ攸ㅤ捤摡收㍦〱㤰ㅦ慦昷㡣ㅡ晦收㑥㤵㤲挹㍡㈴㑥㜹㘴㙤㤳㡣㘹捡㍣戵〷扥㐰搲㌵挸昲㤳㠱ㄴㄳ戴昳昱㐷攰㍢㠰〱㘴昲㑦捡㕡摣晣㉦ㅦ捥ㄳㄷ敡㜷㈰挸戵㝣㍢收捣㘶㐳挱攴㤰戱扡敡挲㐴㕤㈴㕥㠸㤳ㄹㅣ㡢㌶㌵㤲攷晦扢摥慦㜵摥㍣昷搴昶捦愳晥㝦㍦㜹㍥㑦㥥づ㠸昵っ㜱昸㤹㔱㜸㝣㘸户㈱㤰㤷捡㑡㘶㥤挹攴㤱ㅥ戹㥣㌳㜱㐸㍡㘳㙥㡥㔰㕢搷㡦慥慥ㅡㅦ戳㤳捦ㄱ戹挹㥤搹㡤㜶㥢晡㠹搱搸昴慡㘸㜴㍡㍦㘱㙤㤳㝢昱愹戶㥤攰挸㍣㕦㍤㡢搰ㄷ㐲㘴㘵ㅤ㌳〴㌷㠶昰愷㠱摦摡〹搳㘶㐰㈴ㄲ搴㡣㜱敢㐵挶昱㠱㐰扦㕢㉦挱㉦ㅡㄹ慥㡥㐵扢攳〱戵㝡㙡㌸㥥愸慢敥㍥戴愱戱㈹ㄱ敦㕥ㅤ慤㙦㡣搸〹扢㝢㠳㥤㤸㠹ㄳ敡㕥㡦㕦慢㐸攱慣㐸扣㕥㥣慢㝥愰攷㘴㘵攷㍣扡昳敡攱昷户㙤㜸慣攲捣捣㘲㜱㡥㑡㌸㐶昴㥤㔰㉡挸搲挹㕦㉣搱ㄹ㙥〱㥡摣㐵戳ㅢ㐶㜰㔸捦摦㡣搴搶㤲㡥㍣ㅢ㔰㘷㜷散㐱ㄴ晤攸㤳昴换㠹㉥㌸㥣㝤㈹㜹敤㈴慦㤶攴㘵ㄲ摤扣㈴㜷㔵〹挷㌳㐸㌷ㅣㄶ㐴㔳㤲扢挳㑤㑡摥〷㐷敥㠷ㄱ㝣㄰㐹㑦㜲㈱㡦㜵㝣㍡㍦㐲ㄴ㤲㝤㤲㝥㌹搱〳㠷扢㐹㍥搵㑢昲㈹㉡攱㜸㙡敡〵愶㈰㥡㤲㕣〴㌷㈹昹㄰ㅣ昹㈵㡣攰愳㔳㝡㤲㡢㜹慣㐳昲㘱㐴㈱搹㈷改㤷ㄳ愵㌸摣㑤㜲㙢㉦挹昹㉡攱㜸捥敢〳愶㈰㥡㤲摣ㄷ㙥㔲昲ㄱ㌸昲㝢ㄸ挱㠷扤昴㈴昷攳戱づ挹㍦㈲ち挹㍥㐹扦㥣攰攳愶㥢攴㥦㝦㐹㍤㐳㍢扥换㍦愹㠴攳挹戴㍦㤸㠲㘸㑡昲昹㜰㤳㤲㉤㠱搳㙥〵㈳〶㈰㤴㥥攴ぢ㜰㠴㔳㜲ㅥ挸㈰搹㈷改㤷ㄳ㘵㈰㜵㤳晣戵㤷攴慦㔴挲昱㉣㍤㄰㑣㐱㌴㈵㤹捦搲〵㘸戲㍤㑥㔰㜶㠰ㄱ㠳戱㥢㥥攴㐱㈴㜰昴㜲㐷㤰㐱戲㑦搲㉦㈷㠶㠰搴㑤昲㐱㉦挹〷㔴挲昱昴㍦っ㑣㐱㌴㈵㜹㌸摣〲㌴搹〹㈷㈸㍢挳㠸㤱搸㑤㑦昲〸ㄲ㌸㈴㜷〱ㄹ㈴晢㈴晤㜲㘲ㄴ㐸摤㈴敦昵㤲晣㥡㑡㌸摥㔷㔴㠰㈹㠸愶㈴昳㝤㐵〱㥡㉣挵〹捡摥㌰㘲ㅣ㜶搳㤳㍣㤶〴づ挹晤㐰〶挹㍥㐹扦㥣ㄸて㔲㌷挹㍢扣㈴㙦搷㤲㥢扦㘱㤹〰愶㈰㥡㤲㍣ㄱ㙥〱ㅡ㥥戹㘱〶挳㠸㐹搸㑤㑦昲㐵㈴㜰㐸ㅥ〶㌲㐸昶㐹晡攵挴㘴㤰扡㐹㝥搴㑢昲㐶㤵㜰扣ㄳ攲㥢愰㈰㥡㤲捣㜷㐲〵㘸㜲〲㑥㔰㑥㠴ㄱ㤵搸㑤㑦昲㘵㈴㜰㐸㥥っ㌲㐸昶㐹晡攵挴攵㈰㜵㤳㝣㡦㤷攴扢㔵挲昱ㄶ慢ち㑣㐱㌴㈵戹ㅡ㙥〱㥡慣挵〹捡㈹㌰㠲慦戲搲㤳㕣㐳〲㠷攴㘹㈰㠳㘴㥦愴㕦㑥搴㠲搴㑤昲㡤㕥㤲㙦㔰〹挷㝢户愹㘰ち愲㈹挹㝣敦㔶㠰㈶㘷攰〴攵㑣ㄸ㌱ㅤ扢改㐹㥥㐶〲㠷攴㌹㈰㠳㘴㥦愴㕦㑥㐴㐰敡㈶昹㉡㉦挹㔷慡㠴攳㑤㘱〳㤸㠲㘸㑡㌲摦ㄴㄶ愰挹㐵㌸㐱戹ㄸ㐶昰㜵㘱㝡㤲ㅢ㐹攰㤰扣ㄴ㘴㤰散㤳昴换㠹ㄸ㐸摤㈴㐷扣㈴㑦㔷〹挷扢捤〴㤸㠲㘸㑡㌲摦㙤ㄶ愰挹ㄵ㌸㐱㜹㈷㡣㤸㠹摤昴㈴捦㈰㠱㐳昲㉡㤰㐱戲㑦搲㉦㈷㘶㠱搴㑤昲㈵㕥㤲㉦搶㤲㥢扦㡤㥤〳愶㈰㥡㤲捣户戱〵㘸㜲㉤㑥㔰慥㠳ㄱ㝣㈵㥢㥥㘴扥捤㜵㑡摥〰㌲㐸昶㐹晡攵挴㍣㤰扡㐹ㅥ攱㈵㜹戸㑡㌸摥ㅦ捦〷㔳㄰㑤㐹㕥〰户〰㑤㙥挱〹捡慤㌰攲ㅡ散愶㈷㜹㈱〹ㅣ扤扣つ㘴㤰散㤳昴换㠹㙢㐱敡㈶昹㕣㉦挹攷愸㠴攳㡤昷㈲㌰〵搱㤴攴挵㜰ぢ搰攴㉥㥣愰摣つ㈳昸摡㍢㍤挹㑢㐸攰㤰扣〷㘴㤰散㤳昴换㠹愵㈰㜵㤳摣捤㑢㜲㔷㤵㜰扣愳扦ㄱ㑣㐱㌴㈵㤹敦攸ぢ搰攴㍥㥣愰摣て㈳昸愲㍥㍤挹㌷㤳挰㈱昹㈳㤰㐱戲㑦搲㉦㈷㤶㠳搴㑤昲愹㕥㤲㑦㔱〹挷慣挲慤㘰ち愲㈹挹㥣㔵㈸㐰㤳㠷㜰㠲昲㑢ㄸ挱愹㠵昴㈴摦㑥〲㠷攴挳㈰㠳㘴㥦愴㕦㑥慣〰愹㥢攴搶㕥㤲昳㔵挲㌱て㜲ㄷ㤸㠲㘸㑡昲㑡戸〵㘸昲〸㑥㔰㝥て㈳㌸ㄹ㤲㥥攴㔵㈴㜰㐸晥ㄱ㘴㤰散㤳昴换㠹㝢㐰敡㈶昹攷㝦㜹㍤㉦慢㠴㘳收收㍥㌰〵搱㤴攴晢攱ㄶ愰㐹㉢ㄳ愶ㄵ㡣㜸〰扢改㐹㕥㑤〲㠷攴㍣㤰㐱戲㑦搲㉦㈷ㅥ〴愹㥢攴慦扤㈴㝦愵ㄲ㡥戹愶㌵㘰ち愲㈹挹㥣㙢㑡㑡㙥㑦挹ㅤ㈸㜹ㅤ㐲改㐹㕥㡢㈳㥣㤲㍢愶㈴晢㈴愵㑦㑥慣〷愹㥢攴㠳㕥㤲て愸㠴㘳㜶㙣〳㤸㠲㘸㑡昲㐶戸㐹挹㥤㈸戹㌳㈵㜳㡡㉣㍤挹㡦攲〸愷攴㉥㈹挹㍥㐹改㤳ㄳ㡦㠳搴㑤昲㕥㉦挹慦愹㠴㘳㍥㙦ㄳ㤸㠲㘸㑡㌲攷昳㤲㤲㑢㈹戹㌷㈵㜳㔲㉦㍤挹㑦攰〸愷攴㝥㈹挹㍥㐹改㤳ㄳ㑦㠱搴㑤昲づ㉦挹摢㔵愲昹っ㘴昶ㄶ㌰昹㑥戶戴〲㈰㙦㐴㌴㕣㌳㈸㕣㡤㐵㕦慤搴㤲慦摣㜲扣㑥挷㍣㔵㉣挰挹戴㜲扣㑡挷㠴攲㡣扡ㅡ㍢㤶换挰㌸㉣㘹换收㌴㥣㤵㥣攰㡡㘳㍥㈸㉢㈳㈷㈷㍦搷慤搶㔰捤㜵愶换㤲戹愱づ晥慦挷昴攱㉢㍡晣㌰㘴挱捡㐱散㥣挱散㥣慤搸愵㥥㘶㠰㈱〴っ㈵㘰㥢〱㘸〷㍦㉦㡦㔶づ㈳㘰㌸〱扢っ〰㕣㕤㘲〴〱㈳〹搸敤づㄸ㐵挰㘸〲昶ㄸ〰愳㐴〵〱㘳〸搸㘷〰攰敡ㄲ㘳〹ㄸ㐷挰㝥㜷挰㜸〲㉥㈴攰㈳〳㘰㤴㤸㐰挰㐴〲づㄹ〰戸扡挴㐵〴㑣㈲攰㑢㜷挰㘴〲㉥㈶攰戰〱㌰㑡㕣㐲挰愵〴ㅣ㌱〰㜰㜵㠹换〸愸㈴攰㝢㜷挰攵〴㠴〹昸搱〰ㄸ㈵慡〸愸㈶挰ㄲ慥扤㔹㐳㠰㑤㐰㉢㜷㐰㉤〱㔳〸挸㌳〰㐶㠹愹〴搴ㄱ搰摥〰ㄸ㉡愶ㄱ㌰㥤㠰づ敥㠰〸〱昵〴㜴㌴〰㐶㠹〶〲愲〴㜴㌲〰㐶㠹㐶〲慥㈰愰戳㍢㈰㐶㐰㥣㠰㉥〶挰㈸㤱㈰愰㠹㠰㔲〳㘰㤴㤸㐱挰㑣〲㝡扢〳㘶ㄱ㌰㥢㠰㝥〶挰㈸㌱㠷㠰㉢〹ㄸ㘴〰㡣ㄲ㔷ㄱ㌰㤷㠰挱敥㠰㜹〴㕣㑤挰㌰〳㘰㤴㤸㑦挰〲〲㈶ㄸ〰愳挴㐲〲慥㈱㘰愲㍢攰㕡〲慥㈳㘰戲〱㌰㑡㉣㈲㘰㌱〱戵〶挰㈸戱㠴㠰敢〹㤸攲づ㔸㑡挰つ〴㑣㌳〰㐶㠹ㅢ〹戸㠹㠰ㄹ〶挰㈸㜱㌳〱换〸㤸改づ㔸㑥挰㉤〴捣㌱〰㐶㠹㕢〹戸㡤㠰㐵〶挰㈸㜱㍢〱㜷㄰戰搸ㅤ戰㠲㠰㍢〹㔸㙡〰㡣ㄲ㜷ㄱ戰㤲㠰ㄵ〶挰㈸戱㡡㠰扢〹戸搳ㅤ㜰て〱昷ㄲ戰捡〰ㄸ㈵敥㈳攰㝥〲搶ㅡ〰愳挴㙡〲ㅥ㈰㘰㥤㍢攰㐱〲ㅥ㈲㘰㠳〱㌰㑡慣㈱攰㘱〲戶ㄸ〰愳挴㕡〲搶ㄱ戰搵ㅤ戰㥥㠰㐷〸搸㘶〰㡣ㄲㅢ〸搸㐸挰㉥〳㘰㤴㜸㤴㠰挷〸搸敤づ㜸㥣㠰㍦㄰戰挷〰ㄸ㈵㌶ㄱ戰㤹㠰㝤〶挰㈸昱〴〱㑦ㄲ戰摦ㅤ昰ㄴ〱㑦ㄳ昰㤱〱㌰㑡㙣㈱㘰㉢〱㠷っ㠰㔱攲㡦〴㍣㐳挰㤷敥㠰㙤〴㙣㈷攰戰〱㌰㑡散㈰攰㔹〲㡥ㄸ〰愳挴㜳〴㍣㑦挰昷敥㠰ㄷ〸搸㐹挰㡦〶挰㈸昱㈲〱㉦ㄱ㘰挱戸摣晤晦㐴挰换〴戴㜲〷散㈲㘰㌷〱㜹〶挰㈸昱ち〱慦ㄲ搰摥〰ㄸ㉡昶㄰昰ㅡ〱ㅤ摣〱㝢〹㜸㥤㠰㡥〶挰㈸昱〶〱㙦ㄲ搰挹〰ㄸ㈵摥㈲攰㙤〲㍡扢〳摥㈱攰㕤〲扡ㄸ〰愳挴㝢〴扣㑦㐰愹〱㌰㑡散㈳㘰㍦〱扤摤〱ㅦ㄰昰㈱〱晤っ㠰㔱攲㈳〲づ挰〴〶挱㜰ぢっ搶捥㄰敤っ搵捥㌰㌸ㄶ㌰搶㐱㌸㠱昲戲捡㘳㔶戳㕢ㅦ㈳㥡㕦㤹㕡搸㌱ㅥ慢㐸慣㍦㈳搰愶㌲戵摥㍤㌵愸戴晥ㅢ愱搶㌸㌲戹㡢㔵昱㜱敢ㄳ㐴摡㈲㘲㉣㕣戳晥㠲㔸㍢挴㡥㕤昴ㅥㄸ㡥㌰敢攷ち晣挳〵晣㡣扣攴摡㜰ㄹ㠴㉢㍦㐷㈰㌰㠲㔱㙣㠱㤱摡ㄹ愵㥤搱摡愹㠰㐳ㄶ㐹ㄵ㤲㈷㉤㜹愲㤲愷㈶㜹㌶㤲攵〳㘳㘰㥡ㄵ敢捣愳㍡搱㝣㐳挴㔸ㄸ㙥㠱㜱摡ㄹ慦㥤ぢ戵㌳〱㑥ぢ㡡㑤㔴㌰㐳ㄹㄷ㙢挸㙥㌴㐷㤰っ㕣愴ㄹ㈷㘹㘷戲㜶㉥搶捥㈵㜰㔸捣晡ㅥ㡥戳㝦晥㠹攸㌱晤昳〳〲捤晡攷㐷㠴㡥敤㥦㥦㄰㘹摥㍦㍦㈳收搲㍦㤷㈲摣散㤲ㄵ㔱㐰㉦㥡愳㐸〶㉥㠳攱ㄶ愸搴捥攵摡〹㙢㠷攳挹ㄶ㕣㌲㡥㌸㥢ㄵ敢ぢ㘶搹㠷㈶ㄷ捦ㄹ㠱ㅡ捤挸戱㈷户㐰慤㜶愶㘸㘷㉡㥣ㄶㄴ慢㔳㌰愳㝦昸㐰㈳晢搳戴㘳戱㘹㥡㜱扡㜶㈲摡愹搷㑥〳㥣㘴㌱昶㡦㘴㜷㐸㜶㠱攴㐵㤷扣捥㤲ㄷ㌶㄰㠵㘹愶㡣戳晤㜲㈰㑤㐷ㄶ㙢〴㠲㕢攰ち敤挴戴ㄳ搷㑥〲㑥ぢ㤴㌵㈹㤸愱㡣昳散㜲ㄸ捤ㄹ㉣㌶㐳㌳捥搴捥㉣敤捣搶捥ㅣ㌸㉤㈸㜶愵㠲ㄹ挵挶戰㑥〵㑤㌷ㄶ扢㑡㌳捥搵捥㍣敤㕣慤㥤昹㜰㕡㔰㙣㠱㠲ㄹ挵㈶戲捥〴㥡ㄲㄶ攳㐸㤵㕢㠰愳搵愴㜳慤㜶㌸㍣㑤㐶ㄶ挱㘹㐱戱挵ち㘶ㄴ攳慣慥攴㑣慦散捦㘲㑢㌴攳昵摡㔹慡㥤ㅢ戴㜳㈳㥣ㄶㄴ扢㐹挱㡣㘲搵慣㔳㐵㌳㤸挵㙥搶㡣换戴戳㕣㍢户㘸攷㔶㌸㉤㈸㜶㥢㠲ㄹ挵㌸㤳㈹愷搲㔴戰搸敤㥡昱づ敤慣搰捥㥤摡戹ぢ㑥ぢ㡡慤㔴㌰愳ㄸ攷㄰㈵攷ㄵ攵㈴ㄶ㕢愵ㄹ敦搶捥㍤摡戹㔷㍢昷挱㘹㐱戱晢ㄵ捣㈸挶搹㍢挹ㄹ㍤㔹挵㘲慢㌵攳〳摡攱㘰㤶㕢㠰〳摡愴戳〶㑥戲㤸晦㤷㥡攳㕢挲㡣㘲㥣㌷㤳㜳㘸愶戳搸㕡捤戸㑥㍢敢戵昳㠸㜶㌶挰㘹㠱戲㡤ち㘶ㄴ㕢挰㍡昳㘹昸㥦㡣㠱㐷㌵攳㘳摡㜹㕣㍢㝦搰捥㈶㌸㉤㔰戶㔹挱㡣㘲㡢㔹㘷ㄱ捤㕣ㄶ㝢㐲㌳㍥愹㥤愷戴昳戴㜶戶挰㘹㠱戲慤ち㘶ㄴ攳㉣㡤扣㌱㔹㤱挵晥愸ㄹ㥦搱捥㌶敤㙣搷捥づ㌸㉤㈸昶慣㠲ㄹ挵㌸㍦㈲㙦愵㔹挶㘲捦㘹挶攷戵昳㠲㜶㜶㙡㠷攳摤ㄶㄴ攳㠸㤸㌰愳ㄸ㘷㈶㈴㘷㉢攴㕤㉣昶㈷捤挸戱㌱户挰㉥敤散搶捥㉢㜰㤲挵晣㍦㡤慦㉡㤸㔱㡣㜳〲愹晦敢㜸㠰挵昶㘸挶搷戴戳㔷㍢慦㙢攷つ㌸㉤㔰昶愶㠲ㄹ挵昸㌶㕥慥愱搹挰㘲㙦㘹挶户戵昳㡥㜶摥搵捥㝢㜰㕡㔰散㝤〵㌳㡡昱㍤㜸敡晦㐵㥥㘴戱㝤㥡㜱扦㜶㍥搰捥㠷摡昹〸㑥ぢ㉥攳〱〵㌳㡡㙤㘶㌱扥㤵㤶㍢㔰㑣㝣づ㠴摢㙢摦ぢ㝥昶㤸挲㌹㕦㈵ㅣ换㤷扦昱㘰㍡挷㡢愹㥦㑡㌸㔶〵ㅦ昱㘰㉡昵㘲㉡㔱〹挷㘲摢愳ㅥ㑣㍤扤㤸㝡愸㠴㘳つ㉢〷㙣㙥搷愹㥢ㄷ㔳㔷㤵㜰㉣つ攵㘸捣㡤愹戳ㄷ㔳㈷㤵㜰慣戸攴㔰换㡤改㜴㉦愶〲㤵㜰㉣㘴攴㌸捡㡤改户㕥㑣愷慡㠴㘳㝤㈰〷㐹㙥㑣㈷㜹㌱㜵搰㑣捤㤷摤㜱〴攴挶㜴扣ㄷ搳㜱㉡攱㔸捤挶攱㡤ㅢ㔳㕢㉦愶㌶㉡攱㔸㈴挶戱㡢ㅢ㤳昴㘲捡㔵〹挷摡㉢づ㑣摣㤸戲扤㤸戲㔴挲戱愴㠹愳づ㌷愶愳㍦㜹㝣㠳㝦㔱〹挷㑡㈱づ㈹摣㤸㝥昴㘲晡㐱㌳㌵㕦㠰挳昱㠲ㅢ搳晦㝡㌱晤㐳㈵ㅣ敢㕡㌸ㄸ㜰㘳晡捥㡢改慦㉡攱㔸㉥挲㍢扤ㅢ搳㔷㕥㑣㠷㔵挲戱ち㘳㤱〷搳㈱㉦愶㉦㔴挲戱戸㠱昷㘸户㜳晡㡢ㄷ搳㈷㉡攱㕣㌳攰挱㜴搰㡢改㠰㑡㌸愶攲㜹㜷㜵㍢愷晤㕥㑣晢㔴挲㌱挳捤㕢愷ㅢ搳㍢㕥㑣㙦慢㠴㘳攲㤸昷㐵㌷愶搷扤㤸昶慡㠴㘳㍥㤶㌷㍤㌷愶㔷扣㤸㜶慢㐴昳㘹捥晣晦〳㍦㔷㉦昶</t>
  </si>
  <si>
    <t>㜸〱扤㕢〹㤴㔴搵㤹敥摢换愳㙦戳愴搴〴っ㌱㕡慤っ㘴㔸㍡㘰搳ㅢ㉡ち㑤㜵戳搳〸戲戹㤴搵搵て㘸扡扡ぢ慢慡搹ㄴ㠵愸戴㠲愰㈲〲攲㠲㈲〲〱㈴愸〸ㄱ㠸ㅢ〹㈰㙡㠸ㅢㄸ㜵ㄲ㌳㈷挱㐴捤㑣㥣ㄹ㈵㈱㡥收晢慡敥捤㕣㜸换改㍡挷㌳敦㥣晢昳扦晦晦摥昷摦慦㕥㜵扤晢敥扤攴㠸㥣㥣㥣慦㜱昰㕦ㅥ昹㜴捥㥢㌰㍦㤹戲㥢㑢慡攳戱㤸ㅤ㑤㌵挶㕢㤲㈵㐳ㄲ㠹挸晣搱㡤挹㔴ㅥ〰㔶戸ㄱ昹㘴㐱㌸搹戸挰㉥っ捦戱ㄳ㐹㠰ち㜲㜲ちぢ㘵㉥昲摦㔵㉤愰㑦㈴慦㤲昹㌴㐰攵㐸㡢愶〳㑤㈱㡤愴㈹愲改㐸搳㠹愶㌳㑤ㄷ㥡㙦搱〴㘸捥愲㌹㥢收ㅣ㥡㙦搳㝣㠷愶㉢㑤㌷㥡㜳㘹㔸㕦㜶愷昹ㅥ㑣愷昳㘰㈶㔶てㅤ㔷㍦ぢ㙡㈶愴攲〹扢㙦㜰㔲愶捦㤷つㄸ㔰㌲愰愴戴愲㝦㘵㐹晦扥挱敡搶㔸慡㌵㘱㕦搶㘲户愶ㄲ㤱㔸摦㘰㕤㙢㝤慣㌱㍡捡㥥㍦㌱摥㘴户㕣㘶搷昷㉦慤㡦っ慣ㅣ㌰戰慣㙣㝡㔵㔵㘵愷敦㠳㜹㙣昵搰扡㠴㍤㍤昹㑤㜱㥥㑦捥㜱搵㐳㑢挶摡愹㙦㡡昳〲㜰㠲㜲㔸扣㌹搲搸昲つ㤱ㄶ昰㥥づㄸ㘶㐷ㅢ㜹昳㙤㍢搱搸㌲愳〴摤㍥敤㠳挶㔹㐵〹㌰㤳㈲㠹㙡㍢ㄶ扢搲㥥捥ㅢ摥愵昹慡愴㕤摤㥡㑣挵㥢挷㐶㥡敤㑥捤晣〰敤㠴摤ㄲ戵㤳㕤㥡㐳昳愲㜶㑣愱㤳㠵捤戸㤴愰㝣㍡摦㙡捥摣挴ㄱつ㜶㑢慡㌱㌵扦㌳㠹慥㡣戴捣戰〹㈹㘸慥㙤㙤㙣挸挹捦ㄷ昹昹㌹㜹攲㕦摣晡㤶扥㔵慡㐷㘹㥦户戰㕤㉡㑥敢ㄶ扦㔲ㄷ㥤挱捦㝢㌶㙥㜶㙡㤴㥤㘸戱㘳慡〴㙦㘶㥦㌳㜰改捦㈸㜳㉢晥昹㘱㘹㐱扣㔱愲愳晡晢愳ㅡㄶ捡㤱㐱㥡㘲ㄸ敢㐲㤸扣㔰㐵㤹扣㠸愱ㅥ㌰㈲晦㝤晣〱㥢搷昰㡦㈸㌷ㅣ挹つ搷攷㠶愳戹攱㠶摣戰㥤ㅢ㥥㥥ㅢ㥥㤱ㅢ㥥㤹ㅢ㙥捣つ捦捡つ㌷〱愳㡦挲づㅤ㜲搵ㄱ㕦㜱昶戹晦㝤晣搳摡昵ㅦ㌷㕥昸㔹㜴挵㐷㠲㝦戳扣搱㌹戲㈷㑤㉦ㄸ敢〷㌰㜹愱戲㉡昹慦っ昵㠶ㄱ攲ㅤ昴㠱晤昸摤收㥡㥢㤲㍢㙥ㄸ戱敤㍦㜲㍥㍣ㄹ㔹摥㔷昰敦㍤㐳搰㤷攸㝥㌰㔶〹㘳愱昲㑡昹㐳㠶晡挳〸㜱㔴ㄱ晣㜵搶ㅦ晦敢昲挷〷搷㉥摤搱昴挱攱㍢ㅥ㙥ㄳ晣慤挸㄰㕣㑣㜴㈹㡣㌵㤰戱㔰㐵㤵㉣㘳愸ㅣ㐶㠸㔷ㄴ挱搹ㄷㅣ戸㝢攸㤴户慥搸扦㉣昲攲㠶ㅦ㤷昶ㄳ晣㥤挹㄰㔴ㄲ㕤〵㘳つ㘲㉣㔴㔶㈹㉦㘱攸㔲ㄸ㈱づ㈸㠲昱ぢ㍢晥昴愶㙥摢㙢㕦昸戲㜱敦㔹慦㝦戶㑥昰㉢㥢㈱ㄸ㑣昴攵㌰搶ㄵ㡣㠵捡㉢攴㄰㠶㠶挲〸昱㌳㐵昰收敢㙦ㅣ㝣㘵收慥㜱户㥥㝢昵慡戳扢慣㥤㉤昸晢㤶㈱ㄸ㐶㜴〸挶慡㘱㉣㔴㔶㉥㙢ㄹㅡづ㈳挴ㅥ㐵㜰挹昲捦て捦晢敡攸戰挷扢慣搹昶㙥㥦㍦搴ぢ晥㌶㘶〸㐶ㄲ㍤ち挶ㅡ捤㔸愸慣㑣㡥㘱㘸㉣㡣㄰㑦㈹㠲攷攲㈳〷㝦㝡昹昶㥡攷㕡㜶扥㝣㘰㔹㕤㔷挱慦㐴㠶愰㡥攸昱㌰搶㤵㡣㠵慡㑡攵〴㠶㈶挲〸戱㑤ㄱ㕣晡㐶㜸㔷昷敢㡢挶㉣扡敥戳愶户㙦㝦改㠰攰㙦㜲㠶㘰ㄲ搱㤳㘱慣㈹㡣㠵㉡〶捡愹っ㑤㠳ㄱ攲〹㐵昰敡㠸㥥㙤ㅢ挶㤴㡣摢搹慦昴㥥㌱㍦扦愰㐸昰昷㍣㐳㜰つ搱搷挲㔸搷㌱ㄶ慡愸㤴㘱㠶慥㠷ㄱ㘲扤㈲挸昹攳㥦㡦散晥㘳捦摡搵捤㍢㠷㙣戹昹搲㝦ㄷ㝣ㄶ㘴〸敡㠹㡥挲㔸つ㡣㠵捡慢愴捤搰㜴ㄸ㈱ㅥ㔰〴㍤㤶ㅣ戸晡摢㡢愷㔶㙦㜸敥㤳ㅢ㍡㜶昸㔳㑣昰㌹㤲㈱㤸㐹㜴㈳㡣㌵㡢戱㔰昹㐰挹扦〷ㄹ㠳ㄱ攲㍥㐵戰晢㜰昳㥡昳摢ち㐲晢晢〶㡢㥡㙥晥晣㍣挱㘷㔰㠶愰㠵攸㌸㡣㌵㥢戱㔰㜹戹扣㠱愱〴㡣㄰换ㄵ㐱扦㘷㔷㉥敦晡㘱搹㤰㉤㈵㔳㡥晥㈹㌸㈳㈴昸晣捡㄰愴㠸㙥㠵戱收㌰ㄶ㉡慢㤰㜳ㄹ㥡〷㈳㐴㥢㈲㘸晢㐱㜴昲收㍤㌳㐲㙤㉦扥昵㔵摢㉦㡥ㅥㄱ㝣昶㘵〸ㄶ㄰㝤㈳㡣㜵ㄳ㘳愱㡡㔲戹㤰愱㥢㘱㠴㔸慣〸㍥㡢〴㕥㝣晢慡慥愱㝢晢㔷扥㜹晥挶挱㍤〴㥦㥢ㄹ㠲㐵㐴㉦㠶戱㝥挴㔸愸㙣愰扣㤵愱摢㘰㠴戸㔱ㄱ扣昳㜹捤愱㍤户㝤㌹昴㠹㑤攱ㄳ㠳㈲扦㍥㈱昸捣捤㄰㉣㈱扡つ挶扡㠳戱㔰㜹愹扣㤳愱愵㌰㐲戴㉡㠲㑤昹换㤶敤攸㍥㝦搴收㌱㍦摣戹攲㙣戹㕢昰㜹㥤㈱戸㡢攸攵㌰搶ち挶㐲㔵晤攵摤っ摤〳㈳㐴㕣ㄱ㉣扣㘷挷㠸㤷搶攵っ搹㍢㍤扡㙦改ㄳ㘵ㅢ〴㥦昵ㄹ㠲㤵㐴摦〷㘳慤㘲㉣㔴㍥㐰摥捦搰㙡ㄸ㈱ㅡㄵ挱攱搴㙦㤷㥥扡愲㍥戴攷㠳㡤挷㌷搵晤㜶愸攰㌸㈱㐳戰㤶攸〷㘰慣㜵㡣㠵㉡㉡攴㠳っ㍤〴㈳㐴㔴ㄱ㝣戸昰㘴㌸㜱搱㥤愳㝦㔲戹昰搱㐱つ㤳㠶㠸㜳〹㐶换㤱㡦搰慣㠷戱ㅥ㠵㐱て晡换挷ㄸ摡〰㈳挴戵㡡攰挸散戹㕤㙥㥦扡㙡挸摡攵挳昲挵挸〳㕢〴挷㈷ㄹ㠲㡤㐴㍦〱㘳㙤㘲㉣㔴㔵㈵㌷㌳戴〵㐶㠸挹㡡攰昹搷攵〵慢捥搹㜸挵ぢ㔵㌵晢㤲户慦扢㑣㜴㈷ㄸ㉤㐷㙥愵搹〶㘳㙤㠷挱㙤㉣㤵㑦㌲戴〳㐶㠸昱㡡攰搹㤷捦晦捤搸〷㍦ㅢ昱晣㜵攷㍥㔰㝥改㕦㔶ち㡥㡢㌲〴㍢㠹㝥ち挶㝡㥡戱㔰㘵愹㝣㠶愱㕤㌰㐲㡣㔲〴㙢㡦捥摡㌱晣㕢攱敡㌵㕦敦ㅢ扡戶昰㑦㤷ㄵ〴㤱㙥摦〳搶〲㌲㔸㍤㌳㥥戴㕢搲て摣㍥捤㜵㡤搱㈶㍢㌱挱收攰搲㙥㤸㤰㡡愴散敦ㄸ㈳㠰㍥攳㕡慡㘷昲㤹摥㜰愱ㄹ㥤ㅥ㥡㤷戲㕢ㅡ散㠶扡㐴㝣戶㥤㐸捤㥦ㄸ愹㡦搹㕤㑦㠳っ挱㘸㜵㡥㡤挴㜷㑦ぢ搷挴愳慤挹敡㜸㑢㉡ㄱ㡦㥤㥥ㄹ搲㌰㈷㠲㔱㐷挳㤸㜸㠳㥤㤳㤷㈷㐴㑥敥㌹敡改ㅢ㥡㠳㌱挶昰㐸㑢㐳捣㑥昸㡥㠸〵㠷㄰㔶ㄱ㡥㥣〲㍥愳戳ㅦ㑤攴攲㉡㤹ㅥ扣㘰愸㤹㉣㘸慥㠹㈷㤲㜹㜹㙥㐵㠷㐷㤲㌳㔳搴敤㥦㈴摦㙥㥡㍤㌰〵ㄷ挱戴㘷戰挲慦愵㠸㠸㝡ㄱㄵつ挲敥搰㡣挱捣㤸ㄹ㠹㠲昴ㄸ慤愰㜹㤸㥤㡣㑡づ挲㐶攰㈶捣戳攰挵㕡㌱㜴攳挷㙡捦㑢つ㡢愴㈲ㅤ㥡敢㈲ㄸ挴愵扡攰㐲攰晡㈸㠲㑥晡㌴㍤搶搳㈷愴ぢ攸ㄳ捤摡昹晦〲㈰㍦㐷㥦ㄹ㌵晥挹㥤㈹㈵搳㜵㐸㥣昱挸摡㌹ㅤ搳㤴㐵敡っ㝣㠱戴㙢㤰㜵㑣〷㌲㑣搰捥搷ㅦ㠱扦〱っ㈰搳晦㘴慣挵挳晦攳㐳㍦昱㐱㥤て㠲㐲换昷挶昴㌸㘳㈸㤸ㅥ㌲㐶敢慦㑡㌵挶㤲㈵攸㑣㙤㈲摥㍡㥢㍣晦摦昵扥愹㝥戳敦㤹攳慦㕦晢晦晢攱ぢ㐵昲㐲㐰慣攷㠸挳捦㡣挲攳㑢扢ㄷ㠱愲㑣㔶㌲敢㑣愶慦昴挸ㄵ昴挰㈵搹㡣戹㌹㐲敤搴㍣㉥㕡㍦㌱㘱愷摦㈳ち搳㈷昳㘷摢㥤㥢㈷挷ㄳ㑤昵昱㜸ㄳ扦㘱㕤搲㘷挹㤹戶㥤攲挸扣愳㝡ㄷ愱㉦㠴挸换㍢㙤〸㙥っ攱㉦〰扦昵ㄲ㑣攷㈱戱㔸㔰㌳㈶慤㤷ㄹ挷ㄷ〲昷摤㍡〰扦㜴㑣㈴㥡㠸昷挳ぢ㙡㜴㘶㈴㤹㙡㡣昶ㅢ搱㌲扢㌵㤵散ㄷ㡤㌷捦㡥搹㈹扢㕦㡢㥤㥡㡢づ昵㙢挶慦㔵慣㘴㕥㉣搹㉣㉥㔵㍦搰ぢ昲昲ぢ戶扦㜴换愸昵㕤㕡㥥慣敢㤱㍢㔰㕣愲ㄲ㡥ㄱ㝤㑦㤴ち戲㜴晡ㄷ㑢昴㠲㕢㡣㈶て搲ㅣ㠲ㄱㅣ搶昳㌷㈳㜳戴攷㐶晥〰㔰攷敤㌸㠲㈸敥愳㑦搲㉦㈷㝡攳㜲摥㑢挹捦㑥昲搳㤲晣㤸㐴㕦㉦挹㝤㔴挲昱づ搲ㄷ㤷〵搱㤴攴㝥㜰搳㤲㡦挱㤱挷㘱〴㕦㐴戲㤳㕣挲㙢ㅤ摦捥昷㄰㠵㘴㥦愴㕦㑥昴挷攵㙥㤲捦昳㤲晣㍤㤵㜰扣㌵㕤っ愶㈰㥡㤲㕣ち㌷㉤昹〴ㅣ昹ㄱ㡣攰慢㔳㜶㤲〷昲㕡㠷攴㡦ㄱ㠵㘴㥦愴㕦㑥㤴攳㜲㌷挹㥤扣㈴㜷㔴〹挷㝢㕥㈵㤸㠲㘸㑡㜲ㄵ摣戴攴㉦攰挸㤳㌰㠲㉦㝢搹㐹ㅥ挴㙢ㅤ㤲㑦㈱ち挹㍥㐹扦㥣攰敢愶㥢攴㉦扦捡扣㐳㍢晥㤶晦慥ㄲ㡥㌷搳挱㘰ち愲㈹挹㤷挳㑤㑢戶〴扡摤〱㐶っ㐱㈸㍢挹㔷攰ち愷攴㈲㤰㐱戲㑦搲㉦㈷㠶㠲搴㑤昲愷㕥㤲㍦㔱〹挷扢昴㌰㌰〵搱㤴㘴扥㑢ㄷ愳挹慥攸愰散〶㈳㙡㜱㥡㥤攴ㅡㄲ㌸敥㜲㜷㤰㐱戲㑦搲㉦㈷㠶㠳搴㑤昲〷㕥㤲摦㔷〹挷摢晦㐸㌰〵搱㤴攴㔱㜰㡢搱㘴㑦㜴㔰昶㠲ㄱ㘳㜰㥡㥤攴搱㈴㜰㐸敥つ㌲㐸昶㐹晡攵挴㔸㤰扡㐹㝥捤㑢昲慢㉡攱㤸慦愸〳㔳㄰㑤㐹收㝣㐵㌱㥡㉣㐷〷㘵〵㡣㤸㠰搳散㈴㕦㐹〲㠷攴㐱㈰㠳㘴㥦愴㕦㑥㑣〴愹㥢攴晤㕥㤲昷愹㠴㘳㠶㘵ㄲ㤸㠲㘸㑡昲㘴戸挵㘸戲〶ㅤ㤴戵㌰㘲㉡㑥戳㤳㍣㠵〴づ挹㈳㐱〶挹㍥㐹扦㥣㤸〶㔲㌷挹摢扤㈴㙦㔳〹挷㥣㄰㘷㠲㠲㘸㑡㌲攷㠴㡡搱攴㈴㜴㔰㑥㠶ㄱ㘱㥣㘶㈷昹㍡ㄲ㌸㈴㑦〳ㄹ㈴晢㈴晤㜲攲㝡㤰扡㐹㝥挸㑢昲㠳㉡攱㤸挵慡〷㔳㄰㑤㐹㡥挲㉤㐶㤳搳搱㐱㌹〳㐶㜰㉡㉢㍢挹つ㈴㜰㐸㥥〵㌲㐸昶㐹晡攵挴㜴㤰扡㐹扥换㑢昲㌲㤵攸㜱收扣摢㑣㌰〵搱㤴㘴捥扢ㄵ愳挹㌹攸愰㥣ぢ㈳㥡㜰㥡㥤攴㔹㈴㜰㐸㕥〰㌲㐸昶㐹晡攵㐴っ愴㙥㤲㙦昲㤲㝣愳㑡㌸㘶ち㕢挰ㄴ㐴㔳㤲㌹㔳㔸㡣㈶㤷愰㠳戲つ㐶㜰扡㌰㍢挹戳㐹攰㤰扣ㄴ㘴㤰散㤳昴换㠹〴㐸摤㈴挷扣㈴㌷愹㠴㘳㙥㌳〵愶㈰㥡㤲捣戹捤㘲㌴戹ㅡㅤ㤴㙢㘰挴㕣㥣㘶㈷㜹づ〹ㅣ㤲搷㠱っ㤲㝤㤲㝥㌹㌱て愴㙥㤲慦昱㤲㝣戵㑡㌸㘶㘳ㄷ㠰㈹㠸愶㈴㜳㌶戶ㄸ㑤㙥㐲〷攵㘶ㄸ挱㈹搹散㈴㜳㌶搷㈹㜹㉢挸㈰搹㈷改㤷ㄳ㌷㠳搴㑤昲㘸㉦挹愳㔴挲㌱㝦扣〸㑣㐱㌴㈵㜹㌱摣㘲㌴捣敢挲散㠱ㄱ户攲㌴㍢挹㍦㈲㠱攳㉥敦〵ㄹ㈴晢㈴晤㜲攲㌶㤰扡㐹扥搴㑢昲㈵㉡攱㤸昱㕥〲愶㈰㥡㤲摣〶户ㄸ㑤ㅥ㐴〷攵㈱ㄸ挱㘹敦散㈴摦㐱〲㠷攴㈳㈰㠳㘴㥦愴㕦㑥㉣〵愹㥢攴扥㕥㤲晢愸㠴㘳㡥晥㉥㌰〵搱㤴㘴捥搱ㄷ愳挹㘳攸愰㍣づ㈳㌸㔱㥦㥤攴ㄵ㈴㜰㐸㝥て㘴㤰散㤳昴换㠹㝢㐰敡㈶昹㍣㉦挹摦㔳〹挷慡挲㑡㌰〵搱㤴㘴慥㉡ㄴ愳挹ㄳ攸愰晣〸㐶㜰㘹㈱㍢挹慢㐸攰㤰晣㌱挸㈰搹㈷改㤷ㄳ慢㐱敡㈶戹㤳㤷攴㡥㉡攱㔸〷㔹ぢ愶㈰㥡㤲晣〰摣㘲㌴昹〵㍡㈸㑦挲〸㉥㠶㘴㈷㜹ㅤ〹ㅣ㤲㑦㠱っ㤲㝤㤲㝥㌹昱㄰㐸摤㈴㝦昹扦㕥敦换㉡攱㔸戹㜹〴㑣㐱㌴㈵㜹㍤摣㘲㌴㘹攵挲㜴㠰ㄱ㡦攱㌴㍢挹㡦㤲挰㈱戹〸㘴㤰散㤳昴换㠹つ㈰㜵㤳晣愹㤷攴㑦㔴挲戱搶戴ㄱ㑣㐱㌴㈵㤹㙢㑤㘹挹㕤㈹戹ㅢ㈵㙦㐶㈸㍢挹㥢㜰㠵㔳㜲昷㡣㘴㥦愴昴挹㠹㉤㈰㜵㤳晣㠱㤷攴昷㔵挲戱㍡戶ㄵ㑣㐱㌴㈵㜹ㅢ摣戴攴㥥㤴摣㡢㤲戹㐴㤶㥤攴敤戸挲㈹戹㜷㐶戲㑦㔲晡攴挴づ㤰扡㐹㝥捤㑢昲慢㉡攱㔸捦摢〹愶㈰㥡㤲捣昵扣戴攴㜲㑡慥愰㘴㉥敡㘵㈷昹㘹㕣攱㤴㍣㈸㈳搹㈷㈹㝤㜲㘲ㄷ㐸摤㈴敦昷㤲扣㑦㈵捥㕣㠱捣摦つ㈶摦挵㤶づ〰ㄴ㡤㡥㐷ㅡ㙡㈲㔱㙣晡敡愰戶㝣ㄵ㔶㘳㍡ㅤ敢㔴㠹〰ㄷ搳慡㌱㤵㡥〵挵㌹㡤つ㜶愲㤰㠱〹搸搲㤶捦㘵㌸㉢扤挰㤵挴㝡㔰㕥㑥㐱㐱挷㐲户㕡㈳㌴㔷て㤷㉤㜳㈳ㅣ晣㥦㡥慦攴ㄴㅤ㝥ㄸ昲㘰㘵つ㙦㑥㉤㙦捥ㅥ㥣㔲捦ㄹ㠰攱〴㡣㈰㘰慦〱㌸ぢ㝥㔱ㄱ慤ㅣ㐹挰㈸〲づㅡ〰戸扡挴㘸〲挶㄰㜰挸ㅤ㌰㤶㠰㜱〴ㅣ㌱〰㐶㠹㍡〲挶ㄳ㜰捣〰挰搵㈵慥㈴㘰〲〱挷摤〱ㄳ〹戸㡡㠰昷っ㠰㔱㘲ㄲ〱㤳〹㌸㘱〰攰敡ㄲ㔳〸㤸㑡挰㐷敥㠰㘹〴㕣㑤挰挷〶挰㈸㜱つ〱搷ㄲ昰㠵〱㠰慢㑢㕣㐷㐰㤸㠰㤳敥㠰敢〹㠸㄰㜰捡〰ㄸ㈵敡〹㠸ㄲ㘰〹搷扢搹㐰㠰㑤㐰〷㜷挰㜴〲㘶㄰㔰㘴〰㡣ㄲ㌳〹㘸㈴愰慢〱㌰㔴捣㈲愰㠹㠰㙥敥㠰ㄸ〱捤〴㜴㌷〰㐶㠹ㄶ〲攲〴昴㌴〰㐶㠹搹〴摣㐰㐰㉦㜷㐰㠲㠰㈴〱扤つ㠰㔱㈲㐵㐰㉢〱攵〶挰㈸㌱㠷㠰戹〴㔴戸〳收ㄱ㌰㥦㠰㐱〶挰㈸戱㠰㠰ㅢ〹愸㌱〰㐶㠹㥢〸㔸㐸㐰慤㍢攰㘶〲㙥㈱㘰愴〱㌰㑡㉣㈲㘰㌱〱㤳っ㠰㔱攲㐷〴摣㑡挰㘴㜷挰㙤〴摣㑥挰㌴〳㘰㤴㔸㐲㐰ㅢ〱搳つ㠰㔱攲づ〲敥㈴㘰㠶㍢㘰㈹〱换〸㤸㘵〰㡣ㄲ㜷ㄱ戰㥣㠰㌹〶挰㈸戱㠲㠰扢〹㤸敢づ戸㠷㠰㝢〹㔸㘰〰㡣ㄲ㉢〹戸㡦㠰㈵〶挰㈸戱㡡㠰晢〹㘸㜳〷慣㈶㘰つ〱㑢つ㠰㔱㘲㉤〱て㄰戰摡〰ㄸ㈵搶ㄱ昰㈰〱㙢摣〱てㄱ昰㌰〱敢っ㠰㔱攲ㄱ〲搶ㄳ戰挹〰ㄸ㈵ㅥ㈵攰㌱〲㌶扢〳㌶㄰昰㌸〱㕢つ㠰㔱㘲㈳〱㑦㄰戰摢〰ㄸ㈵㌶ㄱ戰㤹㠰㍤敥㠰㉤〴晣㤸㠰扤〶挰㈸戱㤵㠰㙤〴ㅣ㌴〰㐶㠹敤〴㍣㐹挰㈱㜷挰づ〲㝥㐲挰ㄱ〳㘰㤴搸㐹挰㔳〴ㅣ㌳〰㐶㠹愷〹㜸㠶㠰攳敥㠰㕤〴㍣㑢挰㝢〶挰㈸戱㥢㠰㍤〴㥣㌰〰㐶㠹㥦ㄲ昰ㅣ〱ㅦ戹〳昶ㄲ戰㡦㠰㡦つ㠰㔱㘲㍦〱㍦㈳攰ぢ〳㘰㤴㜸㥥㠰ㄷ〸㌸改づ㜸㤱㠰㤷〸㌸㘵〰㡣ㄲ㉦ㄳ㜰㠰〰ぢ挶攵改晦㜳〲㝥㐱㐰〷㜷挰㐱〲づㄱ㔰㘴〰㡣ㄲ㠷〹㜸㠵㠰慥〶挰㔰㜱㠴㠰㔷〹攸收づ㜸㡤㠰搷〹攸㙥〰㡣ㄲ扦㈴攰㈸〱㍤つ㠰㔱攲㔷〴扣㐱㐰㉦㜷挰㥢〴扣㐵㐰㙦〳㘰㤴㜸㥢㠰㜷〸㈸㌷〰㐶㠹㘳〴ㅣ㈷愰挲ㅤ昰㉥〱扦㈶㘰㤰〱㌰㑡扣㐷挰晢㌰㠱ㅡㄸㅥ㠱㕡敤っ搷捥〸敤㡣㠴㘳〱㘳㝤〰㈷㔰㍤㌴㝣摡㙥㜶敢摦㄰敤ㄸ捥㙣散㤸㠸㕤㈴搶㙦㄰攸ㅣ捥散㜷捦っ㉡慤摦㈲搴〹㔷愶㑦戱㉢㍥㘹㝤㠸㐸ㄷ㐴㡣㡤㙢搶敦㄰㍢ぢ戱搳㌷扤〷㐶㈱捣晡㠵〲晦攱〲㝥㑥㔱㝡㙦戸っ挲㤵扦㐷㈰㌰㥡㔱ㅣ㠱㌱摡ㄹ慢㥤㜱摡愹㠳㐳ㄶ㐹ㄵ㤲㥤㤶散愸㘴搷㈴㝢㈳㔹㍥㌰ㅥ收㡣㘲扤㜸㔵㑦㥡㍦ㄳ㜱㈵っ㡦挰〴敤㑣搴捥㔵摡㤹〴愷ㅤ挵㈶㉢㤸愱㡣㥢㌵㘴㕦㥡㉦㤰っ㑣搱㡣㔳戵㌳㑤㍢㔷㙢攷ㅡ㌸㉣㘶㥤㠴攳扣㍦㝦㐵昴戴晢昳㌷〴捥戸㍦愷㄰㍡晤晥晣ㅤ㤱㌳敦捦㤷㠸戹摣㥦㙢ㄱ㍥攳㈳㉢愵㠰㡢㘹扥㐶㌲㜰ㅤっ㡦㐰㔸㍢搷㙢㈷愲ㅤ㡥㈷摢昱㤱㜱挴㜹㐶戱㉡㌰换㑡㥡㐲扣㘷〴ㅡ㌴㈳挷㥥㍣〲搳戵㌳㐳㍢㌳攱戴愳㔸愳㠲ㄹ昷㠷㉦㌴㜲㌰捤㔹㉣㌶㑢㌳㌶㘹㈷愶㥤㘶敤戴挰㘹㐷戱戸㠲ㄹ挵戸摡㉦㠷搱㜴㘷戱搹㥡昱〶敤㈴戴㤳搴㑥ち㑥㍢㡡戵㉡㤸㔱㡣敢散㜲㈴捤㐵㉣㌶㐷㌳捥搵捥㍣敤捣搷捥〲㌸改㘲晣收㐹㝥搱㈴扦㕣㤲㕦㈷挹㙦㤰攴㔷㈶㜰㈳っ㘱㐶戱昱慣㔳㐷搳㤷挵㙥〲㠲㐷㘰愱㜶㙥搶捥㉤摡㔹〴愷ㅤ捡ㄶ㉢㤸㔱㙣㌲㤸攵㈴㥡㌲ㄶ攳㐸㤵㐷㠰愳搵戴㜳㥢㜶㌸㍣㑤㐷㤶挰㘹㠷戲㌶〵㌳㡡㜱㔵㔷㜲愵㔷づ㘶戱㍢㌴攳㥤摡㔹慡㥤㘵摡戹ぢ㑥㍢㤴㉤㔷㌰愳㔸㤴㜵敡㘹㙡㔹㙣㠵㘶扣㕢㍢昷㘸攷㕥敤慣㠴搳㡥㘲昷㈹㤸㔱㡣㉢㤹㜲㈶㑤ㅤ㡢慤搲㡣昷㙢㘷戵㜶搶㘸㘷㉤㥣㜶ㄴ㝢㐰挱㡣㘲㕣㐳㤴㕣㔷㤴㔳㔹㙣㥤㘶㝣㔰㍢て㘹攷㘱敤㍣〲愷ㅤ挵搶㉢㤸㔱㡣慢㜷㤲㉢㝡戲㥥挵ㅥ搵㡣㡦㘹㠷㠳㔹ㅥ〱づ㘸搳捥㐶㌸敤㈸挶昱㉤㘱㐶㌱慥㥢挹〵㌴㑤㉣戶㐹㌳㙥搶捥ㄶ敤晣㔸㍢㕢攱戴愳搸㌶〵㌳㡡㉤㘶㥤㐵㌴晣㥦㡣㠱敤㥡昱㐹敤散搰捥㑦戴戳ㄳ㑥㍢㡡㍤愵㘰㐶戱㌶搶㔹㐲戳㤰挵㥥搶㡣捦㘸㘷㤷㜶㥥搵捥㙥㌸改㘲晥扦㈰㝢ㄴ捣㈸挶㔵ㅡ㜹㔷扡㈲㡢晤㔴㌳㍥愷㥤扤摡搹愷㥤晤㜰摡愱散㘷ち㘶ㄴ攳晡㠸㕣㐹㜳㌷㡢㍤慦ㄹ㕦搰捥㡢摡㜹㐹㍢ㅣ敦戶愳ㄸ㐷挴㠴ㄹ挵戸㌲㈱戹㕡㈱搷戲搸捦㌵㈳挷挶㍣〲〷戵㜳㐸㍢㠷攱戴愳搸㉢ち㘶ㄴ攳㥡㐰收晦㜵㍣挶㘲㐷㌴攳慢摡㜹㑤㍢慦㙢攷㤷㜰搲挵晣敦搹㔱〵㌳㡡㜱㌶㕥㙥愴搹捡㘲扦搲㡣㙦㘸攷㑤敤扣愵㥤户攱戴㐳搹㍢ち㘶ㄴ攳㍣㜸收晦㡢㍣挳㘲挷㌴攳㜱敤扣慢㥤㕦㙢攷㍤㌸敤㔰昶扥㠲ㄹ挵㥥㘲㌱捥㑡换晤㈸㈶㝥て㠴摢戴敦ㄵ㕦㝡㉣攱㕣慥ㄲ㡥敤换㝦昶㘰扡挴㡢㘹㤰㑡㌸㜶〵㝦攱挱㔴敥挵㔴愶ㄲ㡥捤戶㕦㝢㌰つ昰㘲敡慦ㄲ㡥㍤慣ㅣ戰戹㝤㑥㝤扤㤸晡愸㠴㘳㙢㈸㐷㘳㙥㑣扤扣㤸㝡慡㠴㘳挷㈵㠷㕡㙥㑣ㄷ㝡㌱ㄵ慢㠴㘳㈳㈳挷㔱㙥㑣摦昷㘲㍡㑦㈵ㅣ晢〳㌹㐸㜲㘳㍡搷㡢愹㥢㑡㌸戶摤㜱〴攴挶㜴㡥ㄷ搳搹㉡攱搸捤挶攱㡤ㅢ㔳ㄷ㉦愶捥㉡攱搸㈴挶戱㡢ㅢ㤳昴㘲㉡㔴〹挷摥㉢づ㑣摣㤸昲扤㤸昲㔴挲戱愵㠹愳づ㌷愶慦晦敥昱ㄷ晣㤵㑡㌸㜶ち㜱㐸攱挶㜴捡㡢改㙦㉡攱搸㠰挳昱㠲ㅢ搳攷㕥㑣晦愳ㄲ㡥㝤㉤ㅣっ戸㌱晤挵㡢改㍦㔵挲戱㕤㠴㑦㝡㌷愶㑦扣㤸㍥㔶〹挷㉥㡣㈵ㅥ㑣㈷扣㤸晥愰ㄲ㡥捤つ㝣㐶扢昵改㜷㕥㑣ㅦ慡㠴㜳捦㠰〷搳〷㕥㑣敦慢㠴㘳㈹㥥㑦㔷户㍥ㅤ昷㘲㍡愶ㄲ㡥ㄵ㙥㍥㍡摤㤸摥昴㘲㝡㐳㈵ㅣぢ挷㝣㉥扡㌱扤敥挵昴㥡㑡㌸搶㘳昹搰㜳㘳㍡散挵㜴㐸㈵捥㕣收散昸て㡦㌰㈹㔱</t>
  </si>
  <si>
    <t>㜸〱扤㕢〹㜴㔴㐵扡㑥㘵㘹㔲㘱戱ㄵ〵〷㜱愶〳っ㈸㥢散㈴㈸㈸㠴㘶㕦〲㐱㄰ㄴ㘲㤶ぢ〴扡㤳搸摤〹㥢ぢ㈸〲㈲愲㈲扢〸攲㈰㌰㠰ぢ㠲㌰㈰㡡戸㠰㈲㙥㌸挲〸昸搴㜷ㄴ㘷㜰㍤㙦㝣昸〶㔱摦昷㜵㔷捤㉢㜲㤷㤳㍥挷昳晡㥣晡昲摦晡扦晢晤昵昵敤敥㕢昷搶㑤㡡㐸㐹㐹昹ㄵ㉦晥攵㉢㥤㐱搳㠲ㄹ搱㤸ㄵ㙥㥦㔷ㄱち㔹㈵戱戲㡡昲㘸晢摥㤱㐸搱㡣㈱㘵搱㔸ㅡ〸扥挲㌲攴愳ㄹ㠵搱戲㤹㔶㘶㘱戵ㄵ㠹㠲㤴㤱㤲㤲㤹㈹㔳㤱晦㥤㙡㝥扤㈱戹㤷㑣㈷㠰㤵㈲㝤㠴㍡㠴㑣㠲㈴㘴ㄱ敡ㄲ敡ㄱ敡ㄳㅡ㄰㉥㈲昸〹ㄷㄳ㉥㈱㌴㈴㕣㑡戸㡣搰㠸搰㤸㜰㌹㠱昵㘵ㄳ挲ㄵ㠰㝡㑤〱愳昲晡っ㉦㥥〲㌷〵戱㡡㠸搵㌶㌰㍡㌱收㥥ㅤ㍢戶敦搸扥㜳昷づ㌹敤㍢戴つ攴㔵㠵㘲㔵ㄱ慢㘷戹㔵ㄵ㡢ㄴ㠵摡〶昲慢㡡㐳㘵㈵㠳慤ㄹ愳㉡愶㕡攵㍤慤攲づ㥤㡢㡢扡攴㜴散搲戵敢挴摣摣㥣㝡㔷㐲㜹㔸㕥㥦晣㠸㌵㌱晡㕢㘹晥㥥㥡挳昳晡戴ㅦ㘶挵㝥㉢捤㍦㐰ㄳ㤲㝤㉢挲㐵㘵攵扦㤱㘸〶㡦㘹挷扥㔶㐹ㄹて扥㘵㐵捡捡㈷戵挷戰㉦㜸愳戱搵扤㍤㌸愳㡢㈲㜹㔶㈸㌴搲㥡挸〳摥㈰㝣㘳搴捡慢㡡挶㉡挲挳㡡挲㔶扤㌰摦㐰㉢㘲㤵㤷㔸搱〶攱攰昴ㄲ㉢愴搸搱捣㌰㜶㈵㈹㥤挱㐵攱挴㐱ㅣ㔸㙡㤵挷捡㘲㌳敡㔳㘸㘴㔱昹㈴㡢㤴㡣㜰晦慡戲搲㤴昴㜴㤱㥥㥥㤲㈶晥攸㌴戶昸愱㔲㈳㡡挷㍣㠴戵㜲㜱挱戰昸㤱㙡㕥㐳㥦挷㙣㜸㘵㙣戰ㄵ㈹户㐲慡〴て㘶㥢ㅡ扣昸㝢㤴㌸ㄴ晦㝥戳戴㈱ㅥ㈸㔱㔷㝤晦攸㠶㠵㔲㘴㠰㤰つ昰㌵〳愴〷㍢㜶敡㈴㥢戳慦〵㐰愴㥦挴㌷搸摣㠹摦愲搴挲愲搴挲攲搴挲㤲搴挲搲搴㐲㉢戵㜰㘲㙡攱愴搴挲挹愹㠵㘵愹㠵㔳㔲ぢ愷㠲愳㕦㤹㜵敡愴慡搷㙢ㄳ挶晢摦㘸晡挱つ㜳づ㡣㙦㕥㘷㔲挹㐰挱㉦㉤㡦㜴㡡㙣㐹㘸〵昰㕤〵挰㈰㍡㜴㤴㔷戳慦㌵㐰㠸て㌱〸づ攴挵愹换戲㌳㜲㔷て㕥昶捥慣㥦㍥挸慡㕡㈶昸㡤㑦㈸戴㈵扢ㅤ挰搷㥥㝤挱㥣敥昲ㅡ㜶㜵〰〸昱慥ㄲ攸戹愷戲晢敥愲㤷㠷㙣扥晣戶㉦㤶㘷ㅥ㍢㈷昸㙢㤱㄰攸㐴㜶㘷㠰慦ぢ晢㠲㌹摤㘴㔷㜶㜵〳〸昱愶ㄲ㤸㤲搳收戲昳㝤慥敥扢㜴搲挶㍢晦㜱挵㝢㕦〹晥搲㈴〴㜲挸捥〵昸㝡戰㉦㤸㤳㉢慦㘵搷㜵〰㈱㕥㔵〲㑦㘷摥摣攵捡㡦摥敢昷搲捡㙢㙥つ扦扢㙢㠸攰㠷㌶㈱搰㡢散敢〱扥ㅢ搸ㄷ捣改㈴㝢戳慢て㐰㠸ㄷ㤵挰戸㜵戳收戶攸昵挹昰㔵挳㍥㡢㘶㉣㕤㜸㐸昰ㄷ㉥㈱搰㤷散㈰挰搷て㠰㜷戱㘳㘷搹㥦㝤〳〰㐲散㔶ち㉦㘷㍥搹攲㡤慤昹晤㔶敥晦捦㘹㘳㡥敦㍥㉦昸昳㤸㔰ㄸ㐴昶㘰㠰㙦〸㠰挷愱㤳ㅣ捡扥㘱〰㈱戶㉢㠵敢づ㙤㌸搸慤昴挷㍥てㅦ㜹㝤㕢晤捡ㄹ㜷ぢ㝥㉡ㄲち昹㘴㡦〰昸㐶戲㉦㤸搳㐱ㄶ戰㙢ㄴ㐰㠸慤㑡攰搸攲扣㥤ㄷ敤昸㝤㜰挵ㅤㅦ㕦㜳㝤昸㤹敦〵㝦㤷ㄳ〲愳挹ㅥ〳昰摤挴扥㘰㑥㔷㌹㤶㕤攳〰㐲㍣愹〴晥㤹㝥㘸换㔷敦㥥ㅡ㌸㜷搷攳晢㕡㕦㤹戱㔷昰㌷㍤㈱㜰ぢ搹攳〱扥〹散ぢ收㜶㤳㠵散扡ㄵ㈰挴㍡㈵昰晥㥢摦扥㜴㝥挱慥㍥㙢㔷㡦扦㝤攴㍦ㅦ敤㈵㜸㍥㐸〸ㄴ㤳㕤〲昰㤵戲㉦㤸摢㔵㕡散㥡〸㄰㘲㤵ㄲ昸㜰㝥㜰挵愵〵㡤㠷㍤搱㜲敦〷㉤㑦晦㝤㡥攰戹㈴㈱㌰㤹散㌲㠰㙦ち晢㠲㌹㌹㤲㕦〹ㄹ〲〸昱㠸ㄲ㜸愵搱晢愷昶㝥㝤㉥㙦敦㜷㤷散摦㌳愱捦㍣挱昳㔰㐲愰㥣散ち㠰慦ㄲ挰挳搰㔹摥挶扥〸㐰㠸〷㤴挲㘳ㅦ扦戳晡搵搷㝢〶ㄷㅦ晤㝥昷攷摦㝣㌳㔴昰㈴㤶㔰㠸㤱㕤〵昰㔵〳愸搰㕤㑥㘳摦㜴㠰㄰昳㤵挲㙢㜹㌹ㄳ搳㐶㕥㌴㜴捤晡搰㤱㡦慦昸㜶㤵攰ㄹ㌰愱㌰㤳散㔹〰摦敤散ぢ收㜶㤴㜷戰敢㑥㠰㄰㜳㤴㐰搳ㄹ㔷敦ㅤ搵昲扥摥㑦敤摢㝥攷愹㠲昰㜲挱戳㘷㐲㘰㌶搹㜳〰扥扢搹ㄷ捣敤㈴敦㘱搷㕣㠰㄰戳㤴挰㤲㔹摢ㅢ摣晦攱捤挱㈷昶昹㜳㘶㕤㝡晥㠰攰㤹㌷㈱㌰㡦散昹〰摦〲〰㍦捥㕤攴㝤散㕢〸㄰愲㑡㈹㝣㜷昴敤㡢ㅦ㍡昸散挰㌹搳㥢つ㍣㜵㔵昵㐸挱搳㜶㐲㘱ㄱ搹て〰㝣㡢搹ㄷ捣敤㈲ㅦ㘴搷㐳〰㈱㉡㤴挰㈳つ㝢晤㍣愷愰敤㠰愵㥤㡥晣戲昶挶挶愹㠲愷晣㠴挰ㄲ戲ㅦ〱昸㤶戲㉦㤸㥢㈳㤷戱㙢㌹㐰㠸㌲㈵昰㕦㍦散晢㌹㝡搱昳㐳㕥㌸㔴扦搹扡ㄹ敤搲〴愷ぢ〹㠱㤵㘴慦〲昸㔶〳攸愱㥢㝣㤴㝤㙢〰㐲㤴㈸㠵㐰慢㠶愳㌶㙦敢ㄹ摣㜵㝡㔴㐱捦搲㌱摦㡡换㤱㑥㈸慣㈵㝢ㅤ挰昷㌸晢㠲㌹㕤攴㝡㜶㍤〱㄰㘲扣ㄲ攸㔶㜵昴摣摣昱戹㌷捣㙥ㅥ㜸㘹收搸㐱㍦〸捥㔳ㄲ〲ㅢ挸㝥ㄲ攰摢挸扥㘰㙥㜷戹㠹㕤㥢〱㐲㡣㔱〲改㉦㌷戹㝡搳て㍢㠷㙥㍥昰愷捡摥敦摣㜳㑥㌴㈱ㄹ㉤㐵㙥㈱㙣〵昸戶〱㌰㠲㡥昲㈹㜶㍤つ㄰㘲㠴ㄲ昸㝡晦㤱㥦㘶㕤㜵摢戰〷㘶㡥㥢晤换㈷㡢晦㈸㌸㍦㑡〸㍣㑢昶㜶㠰敦㌹〰㍦㡣ㅤ攴づ昶敤〴〸㌱㔸㈹㡣摤昱慦㍥昷㑥㕦㥢㌷㙦捦搸㈶愷ㄶ慣㝥㌵㈳㠰㜴敤捥戴㍥㌰〳㜹㤳㉢愲㔶㜹晣捣摢㈶㥣㕦㔶㌲搵㡡ㄴ㔸㥣㘵㕡愵〵戱愲㤸㜵㤹㌱ㄵ㘸㌳扣㍣㙦㌲㑦敥愵捤捣摥㠹挱改㌱慢扣搴㉡捤㡦㔴㔴㕡㤱搸㡣㔱㐵挵㈱慢搱〵㤴摥㤸戶㔶㕢㐸晣敥㠲敥㝥ㄵ㈵㔵搱扣㡡昲㔸愴㈲㜴㘱愶㜷㘹㜵ㄱ愶ㅦ愵㐳㉢㑡慤㤴戴㌴㈱㔲㔲ㅢ慡搳㜰戰ㅡ㤳㡤〱㐵攵愵㈱㉢攲㌹㌵ㄶ㥣㑢昸戲昰㑡挹攰挹㍡昹㘹㐵㉡昶㤲昱㔹っ收㥣搱㡣㜰扦㡡㐸㌴㉤捤愹攸㠰愲攸攴ㄸ㝤㝢㈷愹户㡢戰ㅢ㤰搱ㅣ㔰㥢㔹ぢ㍦㤷愲㐸ㄴ㡢ㄲ㔱㉡慣㍡㘱捣㙡㠶㑥㡡㘴挴㈷㙢ㄹ攱扥㔶戴㐴㜲㌶㌶㄰〷㘱扡て㔱愸ち㜳㌸扥慤搶昴㔸摦愲㔸㔱㥤㜰㝥ㄱ㘶㜳戱〶搸ㄱ扣㌶㑡愰㥥摥㡣㑦晡昴〶攵晣㝡㐳慢搶晦扦づ㠸㌷搴㕢㐶㡤㝦㙢㈷㑡挹㜸ㅤち㈷㈲慡搶㡦昷㘹挹㉣戵〵㍤㝦㍣㌴挴敡挶㍢ㄲ㑡昰㡥捦㍦㍥〰㈹㘹㤸㐹挶晦㈴搰挷㤷昷摢㠷㜱攲㡤晡㍤〴㌲㝤㥥〷愶㐵㡤㌹㘱㝣敥㔸㔲㝣㘳慣㉣ㄴ㙤㡦挱昴㡦㔴㔴㔵㔲攷晦扢摥㙦㌵㙥㡥㍤昱晡㥦㕦扤晦㝥扡㍦㑢㌶〳挵户㠷㍣晣捣㈸㍥㍥戴㝢搱㤱㤵挸㑡㘶敤挹昸㥥㉥戹㡣ㄶ搸㈵㤹挹㌷㈷慡昵挲挳㑢㡡㐷㐵慣昸〵㐵㘶㝣㘳㐶愵㔵㍦㍣愶㈲㌲戵戸愲㘲㉡㍦㘱つ攲㕢搱挹㤶ㄵ攳ㄴ扤慥扡㈸㘱㉣㠴㐸㑢扢㘰㉡㙥捣攵晦〰㝤摦〱㐰晤摥愱㔰㐰㉢㐶㝤慦戰ㅦㅦ〸ㅣ㜷摦慢㠸㍢て㉤㉡㠹㔴戴挳㤵㙡挹攴愲㘸慣慣愴摤挰昲捡慡㔸戴㕤㐹㐵戸㌲㘴挵慣㜶攵㔶㙣ㅡ〶搴㉥㡣㕦慢㔰晢改愱㘸㔸㕣愷㝥愰㘷愶愵㘷㙣㍢㜰搷攰㜵つ捡㥦捡㙦㤱摡㐵㕣慢ㄲ戶㤹㝤㑢㤴ち戰㜴晣ㄷ㑢戴㐲㤸㡤㈶てㄲづ〱〴㘷昷晣捤㐸扣㙡㜳㈰慦〲搵㝥㌸づ愳ㄷ挷搱㈳改㤵ㄳ慤戱㍢㡦愵攴㝢㈷昹㙥㐹扥㑤愲慤㥢攵㌶㉡㘱扢ㄴ㘹㡢摤〲㘸捡㜲㍢㠴㜱换挷㄰挸攳〰挱敢㤱攴㉣户攷扥戶㑦攷〹昴挲戲㐷搲㉢㈷㍡㘰㜷㈷换㑤摤㉣㕦愱ㄲ戶㡢愷㑥㔰ち愰㈹换㥤ㄱ挶㉤㥦㐶㈰扦〴〸㕥㐱㈵㘷戹ぢ昷戵㔹㍥㠳㕥㔸昶㐸㝡攵㐴㌷散敥㘴戹㥥㥢攵扡㉡㘱扢摣换㠱㔲〰㑤㔹捥㐵ㄸ户㝣ㄶ㠱晣ㄱ㈰㜸捤㤷㥣攵ㅥ摣搷㘶昹ㅣ㝡㘱搹㈳改㤵ㄳ扣敡㜴戲㝣晥㤷挴愵戴敤扢晣㤳㑡搸㉥㔰㝢㐱㈹㠰愶㉣㕦㡦㌰㙥搹㈷㌰散㍡〰搱ㅢ㕤挹㔹扥〱㝢搸㉤㘷㐱っ㤶㍤㤲㕥㌹搱〷愲㑥㤶扦㜶戳晣㤵㑡搸㉥愹晢㐲㈹㠰愶㉣昳㤲㍡ㅢ㑤㌶挲〰㘵㘳㠰攸㡦捤攴㉣昷愳㠰敤㈸㌷㠱ㄸ㉣㝢㈴扤㜲㘲〰㐴㥤㉣㥦㜲戳㝣㔲㈵㙣昷〰〶㐱㈹㠰愶㉣て㐶㤸㡤㈶㕢㘲㠰戲ㄵ㐰っ挵㘶㜲㤶㠷㔰挰㘶戹㌵挴㘰搹㈳改㤵ㄳ挳㈰敡㘴昹㠸㥢攵户㔴挲㜶搳㈲ㅦ㑡〱㌴㘵㤹㌷㉤戲搱㘴㌷っ㔰㜶〷㠸〲㙣㈶㘷㜹㈴〵㙣㤶㝢㐰っ㤶㍤㤲㕥㌹㌱ち愲㑥㤶昷戹㔹㝥㐱㈵㙣户㔹㐶㐳㈹㠰愶㉣㡦㐱㤸㡤㈶晢㘱㠰戲㍦㐰㡣挵㘶㜲㤶㙦愲㠰捤昲㈰㠸挱戲㐷搲㉢㈷挶㐱搴挹昲㌶㌷换㕢㔵挲㜶㘳㠸户㠳〲㘸捡㌲㙦っ㘵愳挹搱ㄸ愰ㅣ〳㄰㠵搸㑣捥昲〴ち搸㉣㡦㠳ㄸ㉣㝢㈴扤㜲攲㔶㠸㍡㔹㕥攳㘶昹㔱㤵戰摤捡㉡㠶㔲〰㑤㔹㉥㐱㤸㡤㈶㈷㘲㠰㜲ㄲ㐰昰㝥㔶㜲㤶㑢㈹㘰戳㍣〵㘲戰散㤱昴捡㠹㠹㄰㜵戲扣挸捤昲晤㉡㘱扢昹㌶ㄹ㑡〱㌴㘵㤹㌷摦戲搱㘴㌵〶㈸愷〱挴㔴㙣㈶㘷㜹ち〵㙣㤶㘷㐲っ㤶㍤㤲㕥㌹ㄱ㠲愸㤳攵摢摤㉣捦㔲〹摢敤挲㜲㈸〵搰㤴㘵摥㉥捣㐶㤳昳㌰㐰㌹ㅦ㈰㜸换㌰㌹换㤵ㄴ戰㔹㕥〸㌱㔸昶㐸㝡攵㐴〴愲㑥㤶㐳㙥㤶愷慡㠴敤晥㘶っ㑡〱㌴㘵㤹昷㌷戳搱攴㜲っ㔰慥〰㠸㘹搸㑣捥㜲㌵〵㙣㤶㔷㐳っ㤶㍤㤲㕥㌹㌱ㅤ愲㑥㤶㙦㜱戳㝣戳㑡搸㙥挸捥㠴㔲〰㑤㔹收つ搹㙣㌴戹ㄱ〳㤴㥢〰㠲㜷㘵㤳戳捣ㅢ扡㜶换㕢㈰〶换ㅥ㐹慦㥣戸ㄳ愲㑥㤶㠷戸㔹ㅥ慣ㄲ戶㕢挸戳愱ㄴ㐰㔳㤶攷㈰捣㐶㤳扢㌰㐰戹ㅢ㈰敥挱㘶㜲㤶敦愶㠰敤㈸敦㠵ㄸ㉣㝢㈴扤㜲㘲㉥㐴㥤㉣㕦攷㘶昹㕡㤵戰摤昴㥥〷愵〰㥡戲㍣ㅦ㘱㌶㥡㍣㠸〱捡㐳〰挱ㅢ摦挹㔹㕥㐰〱㥢攵挳㄰㠳㘵㡦愴㔷㑥㉣㠴愸㤳攵戶㙥㤶摢愸㠴敤㉥晤㈲㈸〵搰㤴㘵摥愵捦㐶㤳挷㌰㐰㜹ㅣ㈰㜸慢㍥㌹换㡢㈹㘰戳㝣〲㘲戰散㤱昴捡㠹㠷㈰敡㘴戹愹㥢攵㉢㔴挲戶慥戰〴㑡〱㌴㘵㤹敢ち搹㘸昲㌴〶㈸扦〴〸㉥㉥㈴㘷㜹㈹〵㙣㤶捦㐰っ㤶㍤㤲㕥㌹戱ㅣ愲㑥㤶敢戹㔹慥慢ㄲ戶㤵㤰㤵㔰ち愰㈹换慢㄰㘶愳挹戳ㄸ愰晣ㄱ㈰戸ㅡ㤲㥣攵搵ㄴ戰㔹㍥〷㌱㔸昶㐸㝡攵挴ㅡ㠸㍡㔹㍥晦戳摢昵戲㑡搸㤶㙥搶㐲㈹㠰愶㉣慦㐳㤸㡤㈶㝤愹㠰㍡〰戱ㅥ㥢挹㔹㝥㥣〲㌶换㔹㄰㠳㘵㡦愴㔷㑥㍣〱㔱㈷换㕦扢㔹晥㑡㈵㙣㡢㑤ㅢ愰ㄴ㐰㔳㤶戹搸ㄴ户摣㠸㤶ㅢ搳昲㈶㜴㈵㘷㜹㈳昶戰㕢㙥㤲戰散㤱㤴ㅥ㌹戱ㄹ愲㑥㤶㑦戹㔹㍥愹ㄲ戶攵戱㉤㔰ち愰㈹换㕢ㄱ挶㉤户愴攵㔶戴捣㌵戲攴㉣㙦挳ㅥ㜶换慤ㄳ㤶㍤㤲搲㈳㈷㥥㠶愸㤳攵㈳㙥㤶摦㔲〹摢㠲摥戳㔰ち愰㈹换㕣搰㡢㕢敥㐶换摤㘹㤹㡢㝡挹㔹㝥づ㝢搸㉤昷㐸㔸昶㐸㑡㡦㥣搸〹㔱㈷换晢摣㉣扦愰ㄲ㌵㔷㈰搳㜷㐱挹㜳戱愵づ〸㔹㐳㉡㡡㑡晢ㄵ㤵攰改慦㍡敡搹慦捣㍣摣㑥挷㍡㔵挴捦挵戴㍣摣㑡挷㠲㘲㜵㔹愹ㄵ挹㘴㐷〱㥥㙤㑢攷㌲㥣㉦扥挰ㄵ挵㝡㔰㕡㑡㐶㐶摤㑣愷㕡〳戵㔶ぢ㠷㘷攷〶摡昴扦ㅥ㤱挳㕢㜴昸㘱㐸〳捡㝥㍣㌸晤㜹㜰㜶㘳㤳㝥㙡㄰〶㤰㌰㤰㠴扤〶攱㘲挴㔹㔹㐴㌹㠸㠴挱㈴ㅣ㌴〸〸㜵㠹㈱㈴っ㈵攱㤰㌳㘱ㄸ〹挳㐹㌸㙣㄰㡣ㄲ昹㈴㡣㈰攱㤸㐱㐰愸㑢㡣㈴愱㠰㠴攳捥㠴㔱㈴摣㐸挲〹㠳㘰㤴ㄸ㑤挲ㄸㄲ㑥ㅢ〴㠴扡挴㑤㈴㡣㈵攱㑢㘷挲㌸ㄲ㙥㈶攱㡣㐱㌰㑡摣㐲挲㜸ㄲ捥ㅡ〴㠴扡挴〴ㄲち㐹昸搱㤹㜰㉢〹㐵㈴㥣㌳〸㐶㠹㘲ㄲ㑡㐸昰〹挷愳㔹㑡㠲㐵㐲ㅤ㘷挲㐴ㄲ㈶㤱㤰㘵㄰㡣ㄲ㤳㐹㈸㈳愱㤱㐱㌰㕣㑣㈱㘱㉡〹㡤㥤〹㈱ㄲ挲㈴㌴㌱〸㐶㠹㜲ㄲ㉡㐸㘸㘹㄰㡣ㄲ㤵㈴摣㐶㐲㉢㘷㐲㠴㠴㈸〹慤つ㠲㔱㈲㐶㐲ㄵ〹摤っ㠲㔱愲㥡㠴㘹㈴㜴㜷㈶㑣㈷㘱〶〹㍤っ㠲㔱㘲㈶〹戳㐸攸㘷㄰㡣ㄲ户㤳㜰〷〹晤㥤〹㜷㤲㜰ㄷ〹㠳っ㠲㔱㘲㌶〹㜳㐸ㄸ㙤㄰㡣ㄲ㜷㤳㜰て〹㘳㥣〹㜳㐹戸㤷㠴㜱〶挱㈸㌱㡦㠴昹㈴㑣㌴〸㐶㠹〵㈴摣㐷挲㈴㘷挲㐲ㄲ敥㈷㘱㡡㐱㌰㑡㉣㈲攱〱ㄲ慡つ㠲㔱㘲㌱〹て㤲㌰捤㤹昰㄰〹て㤳㌰搳㈰ㄸ㈵㤶㤰昰〸〹昳っ㠲㔱㘲㈹〹换㐸㤸敦㑣㔸㑥挲ちㄲㄶㅡ〴愳挴㑡ㄲ㔶㤱戰摣㈰ㄸ㈵㔶㤳昰㈸〹㉢㥣〹㙢㐸㜸㡣㠴搵〶挱㈸戱㤶㠴㜵㈴㙣㌴〸㐶㠹挷㐹㔸㑦挲㈶㘷挲ㄳ㈴晣㠹㠴㉤〶挱㈸戱㠱㠴㈷㐹搸㘵㄰㡣ㄲㅢ㐹搸㐴挲㙥㘷挲㘶ㄲ晥㑣挲㕥㠳㘰㤴搸㐲挲㔶ㄲづㅡ〴愳挴㌶ㄲ㥥㈲攱㤰㌳攱㘹ㄲ㥥㈱攱戰㐱㌰㑡㍣㑢挲㜶ㄲ㡥ㄹ〴愳挴㜳㈴散㈰攱戸㌳㘱㈷〹捦㤳㜰挲㈰ㄸ㈵㜶㤱戰㥢㠴搳〶挱㈸昱ㄷㄲ昶㤰昰愵㌳㘱㉦〹㉦㤰㜰挶㈰ㄸ㈵昶㤱昰㈲〹㘷つ㠲㔱攲㈵ㄲ昶㤳昰愳㌳攱㘵ㄲづ㤰㜰捥㈰ㄸ㈵㕥㈱攱㔵ㄲ㝣〰㠷戳晦㙢㈴扣㑥㐲ㅤ㘷挲㐱ㄲづ㤱㤰㘵㄰㡣ㄲ㙦㤰昰㈶〹㡤っ㠲攱攲㌰〹㙦㤱搰搸㤹㜰㠴㠴户㐹㘸㘲㄰㡣ㄲ敦㤰昰㉥〹㉤つ㠲㔱攲㍤ㄲ摥㈷愱㤵㌳攱㈸〹ㅦ㤰搰摡㈰ㄸ㈵晥㑡挲㠷㈴㜴㌳〸㐶㠹㘳㈴ㅣ㈷愱扢㌳攱㙦㈴㝣㐴㐲て㠳㘰㤴㌸㐱挲㐹㠰扦ㅦ㠰㉦㝦㝦ㅤっ搰挱㐰ㅤっ㐲攰〳挷㜷ち㠱㍦慦㑦攱〵㡦戵晢㍥㐶㙦摤挲挴㠳ㅤ愳昰ㄴ㠹敦㍦搰㔱扦㌰昱攰㝢㘲㔲改晢〴㕤昵戰㘷㝣ㄳ㡦挷㐷㝤㥦愲愷〱㝡㡣〷搷㝣㥦愱敦㘲昴㕤昸昴扢㝦㌰扡㔹㍦㔳攰㍦㉦㄰愷㘴挵ㅦㄲ㤷〱㠴昲㜳㜴昸㠷戰ㄷ㉦晦㔰ㅤっ搳挱㜰ㅤ攴㈳㠸扢昸〲㠱摤挵㘹昴㕥攰攲㑢㜴搴㜰昱㜷㜴㕤攸攲ㅦ攸愹改攲っ晡ㅣ㕣㡣㐰㜷つㄷ慤㌰攴挴昳收摦㈰改ㅦ〹攰换㕦愰㠳㔱㍡戸㔱〷愳ㄱ㔰㐵搲㠵攴愰㈵〷㉡㌹㌴挹搱㐸㤶昷㡦〱搴㈸挶愷㐰㘴㕢挲㔹㌲㙥〲昰攵ㅦ慢㠳㜱㍡戸㔹〷户㈰愸㐵戱昱㡡㘶ㅣ㥦捥㔰㤶㥤〸扦㈲改㥦愰ㄵぢ㜵㜰慢づ㡡㜴挰昹㘴㉤㡡㜱挶㔹挳㔹㉥敢攴㄰㌲㜱㥤攱㉦搵㡡㤶づ㈶敡㘰㤲づ㈶㈳愸㐵戱㌲㐵㌳㥣昱㠲㐶昶㈲㕣捣㘲㔳戴攲㔴ㅤ㠴㜴㄰搶㐱㌹㠲㜸㌱㝥㝦㈴扦㉥㤲㕦ㄱ挹㉦㠵攴昷㐰昲㠳敦慦〰搴㜰挶搵㝥搹㤷搰㠴挵㉡挱攰换㝦㥢づ㈲㍡㠸敡㈰㠶愰ㄶ捥慡ㄴ捤㜰挶㜵㜶㌹㠸搰㥣挵慡戵攲㌴ㅤ㑣搷挱っㅤ捣㐴㔰㡢㘲戳ㄴ捤㈸㌶㠲㜵昲〹㙤㔹散㜶慤㜸㠷づ敥搴挱㕤㍡㤸㡤愰ㄶ挵收㈸㥡㔱㙣っ敢㡣㈶㜴㘵㌱捥㔴昹昲㜳戶ㅡて收敡攰㕥ㅤ捣㐳㔰㡢㘲昳ㄵ捤㈸挶㔵㕤挹㤵㕥搹㡢挵ㄶ㘸挵晢㜴戰㔰〷昷敢㘰ㄱ㠲㕡ㄴ㝢㐰搱㡣㘲㈵慣㔳㑣攸捦㘲㡢戵攲㠳㍡㜸㐸〷て敢㘰〹㠲㕡ㄴ㝢㐴搱㡣㘲㕣挹㤴㤳〹昹㉣戶㔴㉢㉥搳挱㜲ㅤ慣搰挱㑡〴昱㘲摥ㅦ晤㔵㡡㘶ㄴ攳ㅡ愲攴扡愲ㅣ换㘲慢戵攲愳㍡㔸愳㠳挷㜴戰ㄶ㐱㉤㡡慤㔳㌴愳ㄸ㔷敦㈴㔷昴㘴㌱㡢㍤慥ㄵ搷敢㠰㤳㔹扥晣㥣搰挶㠳つ〸㙡昱㌶㍥愹㘸㐶㌱慥㥢挹㤹㠴愹㉣戶㔱㉢㙥搲挱㘶ㅤ晣㔹〷㕢㄰搴愲搸㔶㐵㌳㡡捤㘱㥤搹〴晥㑢愳㝦㥢㔶㝣㑡〷㑦敢攰ㄹㅤ㍣㡢愰ㄶ㙦攳㜶㐵㌳㡡捤㘷㥤㜹㠴㍢㔸散㌹慤戸㐳〷㍢㜵昰扣づ㜶㈱愸㠵戳摤㡡㘶ㄴ攳㉡㡤㕣ㄴ慦挸㘲㝦搱㡡㝢㜴戰㔷〷㉦攸㘰ㅦ㠲㕡ㄴ㝢㔱搱㡣㘲㕣ㅦ㤱㑢〸て戲搸㑢㕡㜱扦づ㕥搶挱〱ㅤ㜰扥㕢㡢户㤱㌳㘲搲㡣㘲㕣㤹㤰㕣慤㤰㉢㔹散㌵慤昸扡づづ敡攰㤰づ摥㐰㔰ぢ㘷㙦㉡㥡㔱㡣㙢〲㤲敢〴㜲㍤㡢ㅤ搶㡡㙦改攰㠸づ摥搶挱㍢〸㙡㔱散㕤㐵㌳㡡昱㙥扣摣㐰搸挲㘲敦㘹挵昷㜵㜰㔴〷ㅦ攸攰慦〸㙡㔱散㐳㐵㌳㡡昱㍥㜸攲ㅦ㐶㜶戰搸㌱慤㜸㕣〷㝦搳挱㐷㍡㌸㠱愰ㄶ挵㑥㉡㥡㔱㙣㍢㡢昱慥戴摣㠷㘲攲㜳㌰㥣㙥晢摥㜰摥㘵〹攷㝡㤵戰㍤扥晣㡤㡢搲戵㙥㑡㍤㔴挲昶㔴昰㔹ㄷ愵㙥㙥㑡㕤㔵挲昶戰敤慦㉥㑡ㅤ摤㤴㍡愸㠴敤ㄹ㔶㑥搸㥣摥愷戶㙥㑡㙤㔴挲昶㘸㈸㘷㘳㑥㑡慤摣㤴㕡慡㠴敤㠹㑢㑥戵㥣㤴㥡戹㈹㘵慢㠴敤㐱㐶捥愳㥣㤴慥㜴㔳㙡慡ㄲ戶攷〳㌹㐹㜲㔲扡摣㑤愹戱㑡搸ㅥ扢攳っ挸㐹愹愱㥢搲㈵㉡㘱㝢㥡㡤搳ㅢ㈷愵〶㙥㑡昵㔵挲昶㤰ㄸ攷㉥㑥㑡搲㑤㈹㔳㈵㙣捦㕥㜱㘲攲愴㤴敥愶㤴愶ㄲ戶㐷㥡㌸敢㜰㔲晡昵㈷㤷㙦昰㉦㉡㘱㝢㔲㠸㔳ち㈷愵㜳㙥㑡晦㔲〹摢〳㌸㥣㉦㌸㈹晤户㥢搲て㉡㘱㝢慥㠵㤳〱㈷愵敦摤㤴扥㔳〹摢攳㈲㍣搳㍢㈹㝤攵愶㜴㐶㈵㙣㑦㘱捣㜳㔱㍡敤愶昴㠵㑡搸ㅥ㙥攰㌹摡㘹㑣㥦戹㈹㝤慡ㄲ昶㘷〶㕣㤴㑥戹㈹㥤㔴〹摢㔲㍣捦慥㑥㘳㍡敥愶㜴㑣㈵㙣㉢摣㍣㜵㍡㈹ㅤ㜵㔳㝡㕦㈵㙣ぢ挷㍣㉦㍡㈹扤敤愶㜴㐴㈵㙣敢戱㍣改㌹㈹扤攱愶㜴㐸㈵㙡㉥㜳搶晤㕦㤲㘷㌹〵</t>
  </si>
  <si>
    <t>㜸〱扤㕢〹㜴ㄴ㔵扡捥捤㔲攴㠶挵㈸㌳敡㈰㙡〷ㄵㅣ㤶㍣〲㘱㜷〱〲㠴㈵散挸收ㄲ㍢㥤㠲〴㍡改搸摤㘱㜳㘱ㅤ㐰㘴ㄳ㄰㘵ㄱ挴㔱㔱ㄶ〷〴㐱㜰㕦〶ㄴ㜱ㅦ挱㐱ㅤ㤷㜱㘰挴㘵㍣敦昸㜰㐴搰昷㝤摤昷捥扢㔰换㐹㥦攳㜹㝤捥晤昸敢晥㕦㝤晦晤慡㍡㕤户敡ㄶ㘹㈲㉤㉤敤ㄷ㝣昸㉦㍦㤹っ㥡づ㥦ㅡ㡢摢㔵昹㐵㤱㜰搸づ挵㉢㈳搵戱晣ㅥ搱㘸㜰㙡㐹㘵㉣㥥〱㠲㔵㕡㠹㝣㉣慢㌴㔶㌹捤捥㉥㥤㘴㐷㘳㈰㘵愵愵㘵㘷换㜴攴㝦愷㕡慥摥㤰摣㑢㘶ㄲ挰㑡㤳ㄶ愱ㅥ㈱㥢㈰〹㌹㠴晡㠴〶㠴㠶㠴㐶㠴㜳〸戹㠴㜳〹攷ㄱㅡㄳ㝥㐳昸㉤攱㝣挲〵㠴ぢ〹慣㉦㥢㄰㉥〲㌴㘸ちㄸ㔱搴㜳㜰搹〴戸ㄹㅥ㡦㐴敤搶㠱㤱挹㌱㕦㕤㔰㤰㕦㤰摦扥㔳摢捥昹㙤㕢〷㡡㙡挳昱摡愸㝤㜵戵㕤ㅢ㡦〶挳慤〳㐳㙡换挲㤵愱〱昶搴ㄱ㤱㠹㜶昵搵㜶㔹摢昶㘵挱挲捥〵㠵ㅤ㍡㡣敢搲愵㜳㠳㡢愱㍣愸愸攷㤰愸㍤㉥昶㙢㘹㕥㐲捤挱㐵㍤昳〷搹昱㕦㑢昳㔲㘸㐲戲㔷愴㉡㔸㔹晤㉢㠹㘶昱㥣ㄶ昴戲㐳㤵㍣昹戶ㅤ慤慣ㅥ㥦㡦㘱㥦㜱愰戱搵㈹ㅦ㥣㤱挱㘸㤱ㅤづて戳挷昱㠴㌷慡扡㉥㘶ㄷ搵挶攲㤱慡㐱挱㉡扢㐱ㄵて愰ㅤ戵慢㐳㜶慣㔱㔵敦㈹㈱㍢慣搸戱散㉡散㑡㔲㈶㠳㜳慡㤲㈷戱㕦戹㕤ㅤ慦㡣㑦㙤㐸愱㘱挱敡昱㌶㈹㔹㔵挵戵㤵攵㘹㤹㤹㈲㌳㌳㉤㐳㕣攱㌶戶挴愹㔲㈳㑡挴㍣㠵㜵㜲㜱挶戰昸㤵扡散㉣㝤㥥戳挱㌵昱〱㜶戴摡づ慢ㄲ㍣㤹慤捥攲㈵㡥㔱昲㔴晣攷㘰㘹㐳㍣㔱愲扥晡晢愳ㅢㄶ㑡㤳〱㐲ㅥ挰㙡〶挸散㕤㔰搰㐵㕥挶扥换〱㈲昳㐳晣〵㥢㍢昱慦㈸扤㌴㤸㕥㕡㤶㕥ㅡ㑡㉦㉤㑦㉦戵搳㑢挷愵㤷㡥㑦㉦慤㐸㉦慤㑣㉦㥤㤰㕥㍡ㄱㅣ晤挹慥㔷㉦㕤㝤㥡㝥㜲昵搵ㅦ㕦戸扡昸搱㡢㍦㙦昸攳愰愶㙢〴晦㘸㜹愶搳㘴㜳㐲ぢ㠰㜵㈵〰㠳㈸㙣㉢㝦捦扥㤶〰㈱摥挷㈰㌸㤰攸挹㉦摦㝡㙡敦㍤㝤敦晦㙣昸ㄷ攵㥢㉥捤ㄷ晣㡢㑦㉡戴㈶扢つ挰捡〷搰㐶㘷昹㕦散㙢ぢ㄰攲㉤愵㄰摦晢昲挹㐸挷㥦㡡敦晤㘴敢〷㍦㌷ㅥ㤳㉢昸㜳㤱㔴㘸㐷㜶㝢㠰㔵〸㠰㐲摢㡥戲〳晢㍡〲㠴㜸㑤㈹㌴㝡攳㤳㑦晦㕥㍣戵攷戲昴㜵㍦㝤㕢㜰㘲扡攰㙦㑤㔲愱㌳搹㕤〰㔶㔷〰ㄴ摡㜵㤴摤搸㜷ㄵ㐰㠸㤷㤵挲㜵慦㐵晥戹晡摥敥摤户〵扥㡥戵摡㤹摦㕥昰㝢㥢㔴戸㠶散㙢〱㔶㜷〰ㄵ㍡挹ㅥ散敢〹㄰攲㔹愵㜰㝤㘰挳㡤攳㑥㝦摢㘳改㤱㥥㕤慦攸搹晥㝤挱㕦戹愴㐲㉦戲㝢〳慣㍥〰扡攸㈰㡢搹搷ㄷ㈰挴㙥愵昰昵扦ㅡ㜷换捦㥡㌳㘰搱收㔳搳慥㝢昹换昵㠲㍦㤱㐹㠵晥㘴て〰㔸㈵〰㡥愱㔰づ㘴摦㈰㠰㄰摢㤵㐲昹㝤愷摦散昱捡挹扥戳㉦㙥扢㜰昱㡡搱换〵扦ㄹ㐹㠵㈱㘴て〵㔸挳〰㔴㘸㉢㠷戳㙦〴㐰㠸捤㑡攱㘵敢昴搰㡡愳㑢〶摤扦攷慡〷㝦ㄸ昱攰㔸挱ㅦ攷愴挲㐸戲㐷〱慣搱〰㉡ㄴ挸㌱散ㅢぢ㄰攲㘱愵戰戶敦愷㌷㉦摣㌴戴攸敥㜵愱㔵慦㝥㤳ㄱㄴ晣㘵㑦㉡摣㐰昶㡤〰敢㈶〰ㄴちぢ㘵㈹晢㙥〶〸戱㕥㈹扣扤敦改㜹㜷㕦㝦㝢昱㤲㔰挹昷㠵㤵搵愷〴㉦ぢ㐹㠵㌲戲㐳〰慢ㅣ〰㠵㠲づ搲㘶摦㌸㠰㄰慢㤴挲愸㕢挲㤳㝢㕣㌴慦昷戲ㅢ㝡昶扤昲攳㙦扦㄰扣愶㈴ㄵ㉡挸慥〴㔸ㄳ〰㜴搱㐱昲㙦㐳㠶〱㐲㉣㔷ち㡦搵㉦㜹昳昴昲㙥摤㘷㉦㥡㌱敡昴昷摤晥㉥㜸㐱㑡㉡㔴㤳ㅤ〱㔸㌵〰㡥愱慤扣㠵㝤㔱㠰㄰㡢㤴挲㡡㥣㘶㝦扣攴㠶㔳摤㜷摣摥晦攴改㤲㔹㔷〸㕥捤㤲ち㜱戲㙢〱搶㈴〰ㄵ摡挹挹散㥢〲㄰㘲㥥㔲㤸摥攷挵㠳敦搴㝥搷㜳㜶戸愴收㤳昴㉥户ち㕥ち㤳ち搳挸扥ㄵ㘰摤〶㠰㐲摢捥昲㜶昶摤〱㄰㘲愶㔲昸晣扦挷慥慤摣㌳愲㘴攷散㥦㘶㡥晥攲㥡挹㠲搷搱愴挲っ戲㘷〲慣㔹〰㈸ㄴ㜶㤶戳搹㌷〷㈰挴慤㑡攱昸戴昷㌶慥摦㝡㕥捦㥤㔷ㅥ戸敡㤵捤㑤㌶〸㕥㠴㤳ち㜳挹㥥〷戰收〳攸愲㤳扣㤳㝤ぢ〰㐲搴㉡㠵昴捦晦戶㘸捥敦㡦て㕥ㅦ㝡昲攳㝦ㅦ敢㌲㐳昰ち㥥㔴㔸㐸昶㈲㠰戵ㄸ挰㌱ㄴ挸㈵散㕢ち㄰㈲愲ㄴ㥥㍣㍥攷㥣㙦晡敥ㅢ㌴㙢㘷㐹攳㤷搲㙡户ち㕥晥㤳ち换挸㕥づ戰㔶〰㜸ㅣち攵㍤散㕢〹㄰愲㔲㈹㝣摣㘹晥㝢挷㍡〴晡捦〹㍥晤攳愹挵㉦〹挱戹㐳㔲攱㍥戲㔷〱慣搵〰㉡㜴㤱㙢搸户ㄶ㈰㐴㐸㈹㝣㕥晦戳㙤捦㌵晣戹摦㡥㘵㔹㝢㍡晤㌴愱㐶㕣㠸㜴㔲㘱ㅤ搹敢〱搶〳〰㈸戴㙢㉦㌷戰敦㐱㠰㄰㌷㉡㠵㑤改户昵戲昶ㄴづ摡㤲戵㜲㠹㜵㘲捤㑣挱㔹㑢㔲攱㈱戲ㅦ〶㔸㡦〰愰搰扥㤳摣挸扥㐷〱㐲㡣㔲ち捤愶户㝢戶㘲晥挹ㅥ㜷㜷㈸㙣㜷㜰搰㡣㉦㐴ㄳ愴㤳ち㥢挸摥っ戰戶〰愰㔰㔰㈰户戲敦㜱㠰㄰㐳㤵挲捥挹㔳㌳㙢㥥㕢摢㝢挹挵扦改戵慦晤ぢ愳〵攷㑢㐹㠵㙤㘴㙦〷㔸㑦〰愰㔰搸㐱敥㘰摦㑥㠰㄰〳戴挲㜷ぢ戶慦换㍡搵㝢摥晣㘸摡搲㔹㙢〶㘷〵㤰慥摢㤵搷〲㌳㔰㔴ㄱ㠹搹搵㠹㉢㜱慢慡㈱㤵愱㠹㜶㜴戸捤㔹愷㕤㍥㍣ㅥ㡣摢扦㌵愶〶慤〶㔷ㄷ㔵昰㘲㕦摥捣散ㅤ搷㝢㑡摣慥㉥户换㠷㐴㈳㌵㜶㌴㍥㜵㐴戰㉣㙣㥦㝦〶愵〷愶戱㤳㙣㈴㝥㜷㐶㜷㥦㐸愸㌶㔶ㄴ愹㡥㐷㈳攱㌳㌳㍤捡㈷〵㌱ㅤ㈹ㅦㄸ㈹户搳㌲㌲㠴㐸㑢㙦慣㉥换扤㈷㘱昲搱㌷㔸㕤ㅥ戶愳扥㔳㘵挱戹㠵㤵㠳㑦㕡ㄶ㉦摥愹㑦㌳搲戱㤷㑣捣㙡㌰〷㡤㘵㔵昵㠹㐴㘳ㄹㄹ㙥㐵晢〶㘳ㄵ㜱晡昶㑦㔲㙦ㄷ㘱㌷㈰敢㌲㐰㕤㘶㌱晣㘶㡡愰㈸ㄳ㈱㔱㉥散㝡㔵㤸攵っㅣㅦ捤㑡㑣摥戲慡㝡搹戱㤰攴散慣ㅦ㑥挲ㄴぢ㔱戸ㄶ㜳㍡ㅥ㔶㝢㑡扣㔷㌰ㅥ慣㔷㌵㈴㠸搹㕤扣ㄱ㜶〴慦㤵ㄲ㘸愰㌷ㄳ㤳㐰扤㐱戹㕣扤愱㔵ㅢ晥㕦〷挴ㅢ敢㉤愳挶㝦戴㤳愵㘴愲づ㠵㤳ㄱ㔵ㅢ㈶晡戴㘴㡥摡㠲㕥㙥㈲㌴挴敡㈷㍡㤲㑡昰㡥敦㍦扥〰㘹ㄹ㤸㔹㈶晥㐹愲挵㡦晦攱挳㌸㜱愰㉥㠱㐰戶攵㝢㘲㉥㍦㙢㡥㤸㤸㑢㠶捡慥㡢㔷㠶㘳昹ㄸ㑣㜱㌴㔲㕢㐳㥤晦敦㝡扦搶戸㌹昶攴攷摦扦昸晦晢改昳㌹戲ㄹ㈸搶ㅥ昲昰㌳愳昸昸搲敥㐵㐷㑥㌲㉢㤹㜵㈶ㄳ㝢㝡攴戲㉥挷㉥愹㑣挶㌹㜱㙤㔰㌵㌸㔴㌶㈲㙡㈷㙥㌰戲ㄳㅢ㔳㙢散㠶㔵愳㈲搱㠹㘵㤱挸㐴㝥挳ㅡ㈵戶㘲ㄵ戶ㅤ攷㤴扤扥扡㐹㘱㉣㠴挸挸㌸㘳㙡㙥捣敤㉦㠵扥昵㈲愰㘱㡦㜰㌸愰ㄵ㘳搶㑢散挷ㄷ〲攷摤㝡ㄹ㜱晢㠱挱㔰㌴搲〶㜷慥愱㡡㘰㉣㕥ㄹ㙡搳慦扡愶㌶ㅥ㙢ㄳ㡡㔴搵㠴敤戸摤愶摡㡥㑦挶㠰摡㔴攱搷㉡㥣㍦㈵ㅣ慢ㄲ㔷愹ㅦ攸㘹ㄹ㤹㔹㕢㕥㥣㍥㘰㝤愳敡慤㐳㉥㑦㉦ㄴ摤㔴挲㌱搳㙦㡥㔲〱㤶㑥晣㘲㠹ㄶ〸昳搰攴㍥挲㝥㠰攰㙣㥦扦ㄹ挹㑦㕤㑥攴㤵愰㍡㑦挷〱昴攲㍣晡㈴晤㜲愲㈵㜶攷戹㤴㍣㜶㤲㐷㑢昲㌰㠹搶㕥㤶㕢愹㠴攳搶愴㌵㜶ぢ愰㈹换㙤㄰㈶㉣ㅦ㐲㈰て〳〴㙦㑦㔲戳㥣捦㝤ㅤ摦捥㈳攸㠵㘵㥦愴㕦㑥戴挵敥㙥㤶㥢㝡㔹扥㐸㈵ㅣ昷㔲敤愰ㄴ㐰㔳㤶摢㈳㑣㔸㍥㡡㐰ㅥ〳〸摥㑦愵㘶戹㤰晢㍡㉣ㅦ㐷㉦㉣晢㈴晤㜲愲㈳㜶㜷戳摣挰换㜲㝤㤵㜰摣晣㜵㠶㔲〰㑤㔹敥㠲㌰㘱昹〴〲昹〳㐰昰〶㌰㌵换㕤戹慦挳昲㐹昴挲戲㑦搲㉦㈷㜸ぢ敡㘶昹搴捦挹㕢㙢挷摦昲㑦㉡攱戸㕢扤〶㑡〱㌴㘵昹㕡㠴〹换㤶挰戰敢〱㐴て㜴愵㘶戹㍢昶㜰㕡捥㠱ㄸ㉣晢㈴晤㜲愲㈷㐴摤㉣㝦敤㘵昹㉢㤵㜰摣㕥昷㠲㔲〰㑤㔹收敤㜵ㅥ㥡㍣ㅦ〳㤴ㄷ〰㐴㌱㌶㔳戳摣㠷〲㡥戳摣〴㘲戰散㤳昴换㠹扥㄰㜵戳晣㤱㤷攵て㔵挲昱㍣愰㍦㤴〲㘸捡昲〰㠴㜹㘸戲㌹〶㈸㕢〰挴㐰㙣愶㘶戹㠴〲づ换㉤㈱〶换㍥㐹扦㥣ㄸ〴㔱㌷换〷扤㉣扦慥ㄲ㡥〷ㄸ㐳愰ㄴ㐰㔳㤶昹〰㈳て㑤㜶挴〰㘵㈷㠰ㄸ㡥捤搴㉣て愳㠰挳㜲㔷㠸挱戲㑦搲㉦㈷㐶㐰搴捤昲㌳㕥㤶㥦㔶〹挷ㄳ㤷㤱㔰ち愰㈹换愳㄰收愱挹㍥ㄸ愰㉣〶㠸㌱搸㑣捤昲㘸ち㌸㉣昷㠷ㄸ㉣晢㈴晤㜲㘲㉣㐴摤㉣㙦昱戲扣㔹㈵ㅣ㡦㠸昸㘰㈸㠰愶㉣昳ㄱ㔱ㅥ㥡ㅣ㠹〱捡㔱〰㔱㡡捤搴㉣摦㐴〱㠷攵戱㄰㠳㘵㥦愴㕦㑥摣っ㔱㌷换㙢扤㉣慦㔱〹挷㌳慤㌲㈸〵搰㤴攵㄰挲㍣㌴㌹づ〳㤴攳〱㠲捦戵㔲戳㕣㑥〱㠷攵〹㄰㠳㘵㥦愴㕦㑥㡣㠳愸㥢攵㠵㕥㤶敦㔲〹挷㐳戸ち㈸〵搰㤴㘵㍥㠴换㐳㤳㤳㌰㐰㌹ㄹ㈰㈶㘲㌳㌵换ㄳ㈸攰戰㍣つ㘲戰散㤳昴换㠹㌰㐴摤㉣摦收㘵昹㔶㤵㜰㍣㌵慣㠶㔲〰㑤㔹收㔳挳㍣㌴㌹ㄷ〳㤴昳〰㠲㑦づ㔳戳㕣㐳〱㠷攵〵㄰㠳㘵㥦愴㕦㑥㐴㈱敡㘶㌹散㘵㜹愲㑡㌸ㅥ㜳挶愱ㄴ㐰㔳㤶昹㤸㌳て㑤慥挴〰攵扤〰㌱ㄹ㥢愹㔹㥥㐴〱㠷攵搵㄰㠳㘵㥦愴㕦㑥㑣㠱愸㥢攵ㅢ扣㉣㕦慦ㄲ㡥攷戲搳愰ㄴ㐰㔳㤶昹㕣㌶て㑤㍥㠲〱捡㡤〰挱㘷戳愹㔹收㜳㕤愷攵㑤㄰㠳㘵㥦愴㕦㑥摣〱㔱㌷换㈵㕥㤶〷愸㠴攳㐱昲っ㈸〵搰㤴攵㤹〸昳搰攴㉥っ㔰敥〶㠸搹搸㑣捤昲㉣ち㌸捥昲㕥㠸挱戲㑦搲㉦㈷收㐰搴捤昲㔵㕥㤶扢愹㠴攳挹昷㕣㈸〵搰㤴攵㜹〸昳搰攴㍥っ㔰敥〷〸㍥晤㑥捤昲㝣ち㌸㉣ㅦ㠰ㄸ㉣晢㈴晤㜲㘲〱㐴摤㉣户昶戲摣㑡㈵ㅣ㡦敡ㄷ㐲㈹㠰愶㉣昳㔱㝤ㅥ㥡㍣㠴〱捡挳〰挱挷昵愹㔹㕥㑣〱㠷攵㈳㄰㠳㘵㥦愴㕦㑥㉣㠵愸㥢攵愶㕥㤶㉦㔲〹挷摡挲㌲㈸〵搰㤴㘵慥㉤攴愱挹愳ㄸ愰㍣〶㄰㕣㕦㐸捤昲ちち㌸㉣ㅦ㠷ㄸ㉣晢㈴晤㜲㘲㈵㐴摤㉣㌷昰戲㕣㕦㈵ㅣ㡢㈱昷㐱㈹㠰愶㉣慦㐲㤸㠷㈶㑦㘰㠰昲〷㠰攰㠲㐸㙡㤶㔷㔳挰㘱昹㈴挴㘰搹㈷改㤷ㄳ㙢㈱敡㘶昹搴㘹慦晢㘵㤵㜰慣摥慣㠳㔲〰㑤㔹㕥㡦㌰て㑤㕡改㠰㝡〰戱〱㥢愹㔹㝥㠰〲づ换㌹㄰㠳㘵㥦愴㕦㑥㍣〸㔱㌷换㕦㝢㔹晥㑡㈵ㅣ换㑤て㐱㈹㠰愶㉣㜳戹㈹㘱昹㝣㕡扥㠰㤶㌷愲㉢㌵换㡦㘰て愷攵㈶㐹换㍥㐹改㤳ㄳ㡦㐲搴捤昲㐷㕥㤶㍦㔴〹挷晡搸㈶㈸〵搰㤴攵捤〸ㄳ㤶㥢搳㜲ぢ㕡收ㅡ㔹㙡㤶户㘰て愷攵㤶㐹换㍥㐹改㤳ㄳ㡦㐳搴捤昲㐱㉦换慦慢㠴㘳㐱㙦ㅢ㤴〲㘸捡㌲ㄷ昴ㄲ㤶㍢搲㜲㈷㕡收愲㕥㙡㤶㥦挰ㅥ㑥换㕤㤳㤶㝤㤲搲㈷㈷㜶㐲搴捤昲㌳㕥㤶㥦搶㤶捦㕡㠱捣摣〵㈵摦挵㤶㝡㈰攴㤴㐴㠲攵㝤㠲㈱扣つ㔶㑦扤ぢ㤶㕤㠴挷改㔸愷㡡收㜲㌱慤〸㡦搲戱愰㌸愹戲摣㡥㘶戳㘳㌸摥㜵换攴㌲㥣㤵㔸攰㡡㘱㍤㈸㈳㉤㉢慢㝥戶㕢慤㝥㕡敢㜲㤷㜷改晡㌹昴扦ㅥ摡㤹㡦攸昰挳㤰〱㤴㝤㜸㜲㡡㜹㜲㜶㘳㤳㝥捥㈲昴㈵愱ㅦ〹㝢つ挲戹㠸㜳㜲㠸戲㍦〹〳㐸搸㘷㄰㄰敡ㄲ㈵㈴っ㈴㘱扦㍢㘱㄰〹㠳㐹㌸㘰㄰㡣ㄲ㐳㐸ㄸ㑡挲㈱㠳㠰㔰㤷ㄸ㐶挲㜰ㄲづ扢ㄳ㐶㤰㜰ㅤ〹㐷っ㠲㔱㘲㈴〹愳㐸㌸㙡㄰㄰敡ㄲ愳㐹ㄸ㐳挲㌱㜷挲㔸ㄲ慥㈷攱戸㐱㌰㑡摣㐰挲㡤㈴㥣㌰〸〸㜵㠹㥢㐸㈸㈵攱〷㜷挲捤㈴〴㐹㌸㘹㄰㡣ㄲ㘵㈴㠴㐸戰㠴敢搹㉣㈷挱㈶愱㥥㍢㘱ㅣ〹攳㐹挸㌱〸㐶㠹ちㄲ㉡㐹㌸摦㈰ㄸ㉥㈶㤰㌰㤱㠴ぢ摣〹㘱ㄲ慡㐸㘸㘲㄰㡣ㄲ搵㈴㐴㐸㘸㙥㄰㡣ㄲ㌵㈴摣㐲㐲ぢ㜷㐲㤴㠴ㄸ〹㉤つ㠲㔱㈲㑥㐲㉤〹ㅤつ㠲㔱㘲ㄲ〹㤳㐹攸攴㑥㤸㐲挲㔴ㄲ扡ㅡ〴愳挴㌴ㄲ㙥㈵愱㡦㐱㌰㑡摣㐶挲敤㈴ㄴ扢ㄳ敥㈰㘱㍡〹晤つ㠲㔱㘲〶〹㌳㐹ㄸ㘹㄰㡣ㄲ戳㐸㤸㑤挲㈸㜷挲ㅣㄲ晥㐰挲㔸㠳㘰㤴㤸㑢挲㍣ㄲ挶ㄹ〴愳挴㝣ㄲ敥㈴㘱扣㍢㘱〱〹㜷㤱㌰挱㈰ㄸ㈵ㄶ㤲戰㠸㠴㐹〶挱㈸戱㤸㠴㈵㈴㑣㜶㈷㉣㈵攱㙥ㄲ愶ㄹ〴愳挴㌲ㄲ㤶㤳㌰搷㈰ㄸ㈵㔶㤰㜰て〹昳摣〹㉢㐹戸㤷㠴〵〶挱㈸㜱ㅦ〹慢㐸㔸㘹㄰㡣ㄲ慢㐹㔸㐳挲扤敥㠴戵㈴摣㑦挲㙡㠳㘰㤴㔸㐷挲㝡ㄲㅥ㌱〸㐶㠹〷㐸搸㐰挲㐶㜷挲㠳㈴晣㤱㠴㑤〶挱㈸昱㄰〹て㤳戰换㈰ㄸ㈵ㅥ㈱㘱㈳〹扢摤〹㡦㤲昰ㄸ〹㝢つ㠲㔱㘲ㄳ〹㥢㐹搸㘷㄰㡣ㄲ㕢㐸搸㑡挲㝥㜷挲攳㈴晣㠹㠴〳〶挱㈸戱㡤㠴敤㈴ㅣ㌲〸㐶㠹㈷㐸搸㐱挲㘱㜷挲㑥ㄲ㥥㈴攱㠸㐱㌰㑡散㈲㘱㌷〹㐷つ㠲㔱攲㈹ㄲ昶㤰㜰捣㥤戰㤷㠴愷㐹㌸㙥㄰㡣ㄲ捦㤰昰㉣〹㈷っ㠲㔱攲㌹ㄲ㥥㈷攱〷㜷挲ぢ㈴扣㐸挲㐹㠳㘰㤴㜸㠹㠴㤷㐹戰〰㉥㔷晦㔷㐸昸㌳〹昵摣〹晢㐸搸㑦㐲㡥㐱㌰㑡扣㑡挲㙢㈴㥣㙦㄰っㄷ〷㐸㜸㥤㠴ぢ摣〹〷㐹㜸㠳㠴㈶〶挱㈸昱㈶〹㙦㤱搰摣㈰ㄸ㈵摥㈶攱ㅤㄲ㕡戸ㄳ摥㈵攱㍤ㄲ㕡ㅡ〴愳挴㕦㐸㜸㥦㠴㡥〶挱㈸㜱㠸㠴挳㈴㜴㜲㈷㝣㐰挲㕦㐹攸㙡㄰㡣ㄲ㐷㐸昸㄰㤰摢〷挰㑦㙥戱づ晡敡愰㥦づ晡㈳戰挰戱㍥㐲㤰㕢搴戳昴㡣搷摣慤㡦搱㕢扦㌴昹㘲挷〸扣㐵㘲晤つㅤつ㑢㤳㉦挲㈷㈷㤵搶㈷攸㙡㠰㍤ㄳ㥢㜸㕤㍥㘶㝤㡡㥥㐶攸㌱㕥㕣戳㍥㐳摦戹攸㍢昳㙤昸摣〱攸㘶晤㙣㠱晦㠹㠱㌸㉤㈷昱搲戸っ㈰㤴㕦愰㈳户㠴扤昸攴づ搴挱㈰ㅤっ搶挱㄰〴〹ㄷ晦㐰攰㜴㜱ㄴ扤㘷戸㌸㠶㡥戳㕣晣ㄳ㕤㘷扡昸ㄲ㍤㘷扢㌸㡥㍥ㄷㄷ㐳搱㝤㤶㡢ㄶㄸ㜲昲晤昳㙦㤰捣ㅤ〶攰㈷㜷戸づ㐶攸攰㍡ㅤ㡣㐴㐰ㄵ挹㜳㈱㜹攸㈵て户攴〱㤶㍣愶㤲〷㌱㜷ㄴ攰慣㘲㝣ぢ㐴戶㈶㥣㈰㘳㌴㠰㥦摣㌱㍡ㄸ慢㠳敢㜵㜰〳㠲㍡ㄴ扢㔱搱㡣昳搳ㅥ捡戲ㅤ攱ㄷ㈴㜳㙦搲㡡愵㍡戸㔹〷㐱ㅤ㜰㍥㔹㠷㘲㥣㜱㥥攵慣ぢ敢㜴㈶㘴攳㍥㈳户㕣㉢摡㍡ㄸ愷㠳昱㍡愸㐰㔰㠷㘲㤵㡡㘶㌸攳つ㡤扣㠶㜰㉥㡢㑤搰㡡ㄳ㜵㄰搶㐱㤵づ慡ㄱ搴愱㔸㐴搱㡣㘲㕣敤㤷扤〸㑤㔸慣㐶㉢摥愲㠳愸づ㘲㍡㠸㈳愸㐳戱㕡㐵㌳㡡㜱㥤㕤昶㈷㕣挶㘲㤳戴攲㘴ㅤ㑣搱挱㔴ㅤ㑣㐳㔰㠷㘲户㉡㥡㔱㙣㈸敢っ㈱戴㘶戱摢戴攲敤㍡戸㐳〷搳㜵㌰〳㐱ㅤ㡡捤㔴㌴愳搸㈸搶ㄹ㐹攸挰㘲㥣愹昲㤳换搹㙡㈲㤸愳㠳㍦攸㘰㉥㠲㐴㌱晥㕡㐸晥㌸㐸晥㈰㐸晥〴㐸晥搵㑢晥㤹攷捥〳㤰㘶ㄴ攳慡慥攴㑡慦扣㠶挵收㠳挱㑦敥㥤㍡㔸愰㠳扢㜴戰㄰㐱ㅤ㥣㉤㔲㌴愳㔸〸捡戲㡣㔰捣㘲㡢戵攲ㄲㅤ㉣搵挱摤㍡㔸㠶愰づ挵㤶㉢㥡㔱㡣㉢㤹戲㠲㌰㠴挵㔶㘸挵㝢㜴戰㔲〷昷敡攰㍥〴㜵㈸戶㑡搱㡣㘲㕣㐳㤴㕣㔷㤴㘳㔸㙣戵㔶㕣愳㠳戵㍡戸㕦〷敢㄰搴愱搸㝡㐵㌳㡡㜱昵㑥㜲㐵㑦㤶戱搸〳㕡㜱㠳づ㌸㤹攵㈷㤷ㄳ摡㐴昰㄰㠲㍡ㄴ㝢㔸搱㡣㘲㕣㌷㤳搳〸ㄳ㔹散ㄱ慤戸㔱〷㡦敡攰㌱ㅤ㙣㐲㤰㈸收晦㙤摣慣㘸㐶戱㤹慣㌳㠳挰晦攲㤸扢㐵㉢㙥搵挱攳㍡昸㤳づ戶㈱愸㠳戳敤㡡㘶ㄴ㥢挷㍡㜳〹户戳搸ㄳ㕡㜱㠷づ㜶敡攰㐹ㅤ散㐲㔰〷㘷扢ㄵ捤㈸挶㔵ㅡ戹㌰㔱㤱挵㥥搲㡡㝢㜴戰㔷〷㑦敢攰ㄹ〴㜵㜰昶慣愲ㄹ挵戸㍥㈲㤷ㄱ㤶戰搸㜳㕡昱㜹ㅤ扣愰㠳ㄷ㜵挰昹㙥ㅤ㡡㜱㐶㑣㥡㔱㡣㉢ㄳ㤲慢ㄵ昲㍥ㄶ㝢㐵㉢晥㔹〷晢㜴戰㕦〷慦㈲愸㐳戱搷ㄴ捤㈸挶㌵〱挹㜵〲戹㠱挵づ㘸挵搷㜵㜰㔰〷㙦攸攰㑤〴㠹㘲晥摦挶户ㄴ捤㈸挶愷昱昲㈱挲㈶ㄶ㝢㕢㉢扥愳㠳㜷㜵昰㥥づ晥㠲愰づ捥摥㔷㌴愳ㄸ㥦㠳㑢㍥ㅢ㤷㍢㔸散㤰㔶㍣慣㠳て㜴昰㔷ㅤㅣ㐱㔰〷㘷ㅦ㉡㥡㔱㙣㍢敢昰愹戴㝣〶挵挴ㄷ㘰戸㍤昶敤㝥捡㘳〹攷㕡㤵㜰扣扥晣㡤㠷㔲㌷㉦愵慥㉡攱㜸㉢昸㠴㠷㔲㐷㉦愵づ㉡攱㜸搹昶ㄷて愵〲㉦愵戶㉡攱㜸㠷㤵ㄳ㌶户攳搴摡㑢愹㤵㑡㌸㕥つ攵㙣捣㑤愹㠵㤷㔲㜳㤵㜰扣㜱挹愹㤶㥢㔲㌳㉦愵㍣㤵㜰扣挸挸㜹㤴㥢搲挵㕥㑡㑤㔵挲昱㝥㈰㈷㐹㙥㑡ㄷ㝡㈹㕤愰ㄲ㡥搷敥㌸〳㜲㔳㙡散愵㜴㥥㑡㌸摥㘶攳昴挶㑤愹㤱㤷㔲㐳㤵㜰扣㈴挶戹㡢㥢㤲昴㔲捡㔶〹挷扢㔷㥣㤸戸㈹㘵㝡㈹㘵愸㠴攳㤵㈶捥㍡摣㤴㝥昹挹攳㉦昸㘷㤵㜰扣㈹挴㈹㠵㥢搲㐹㉦愵ㅦ㔵挲昱〲づ攷ぢ㙥㑡晦攳愵昴扤㑡㌸摥㙢攱㘴挰㑤改㍢㉦愵㝦愹㠴攳㜵ㄱ㕥改摤㤴扥昲㔲㍡慥ㄲ㡥户㌰收㝡㈸ㅤ昵㔲晡㠷㑡㌸㕥㙥攰㌵摡㙤㑣㥦㜹㈹㝤慡ㄲ捥㜷〶㍣㤴㍥昲㔲晡㔰㈵ㅣ㑢昱扣扡扡㡤改戰㤷搲㈱㤵㜰慣㜰昳搲改愶昴慥㤷搲㍢㉡攱㔸㌸收㜵搱㑤改つ㉦愵㠳㉡攱㔸㡦攵㐵捦㑤改㔵㉦愵晤㕡改慣㘵捥晡晦ぢ晥ㄵ㍤捦</t>
  </si>
  <si>
    <t>㜸〱扤㕢〹㜴ㄴ㔵扡捥捤㔲挹つ㡢㐱〷㜰〰挷づ㌲攰戰㐴昶搵つ〲〴〸㍢挸愶ㄸ戳ㄴ㈴搰㐹挷敥づ扢ち㠲㠰㉣㡡㡡愰㠰㠰㠸愰㉣づ〸㠲〲慥㈸㈰挲㌸戸㠰〳㡣攸搳㠱ㄹ㜴摥扣昷捥㝢敥㈳敦晢扡敦㥤㜷㐹㉤㈷㝤㡥攷昵㌹昷攳慦晢㝦昵晤昷慢敡㔴摤慥㕢㈴㠹愴愴愴㑢昸昰㕦㝥㔲ㄹ㌴ㄹ㌱㍤ㄲ戵换㜳㜲㐳挱愰㕤ㅣ㉤ぢ㔵㐴㜲㝡㠶挳㠵搳〷㤶㐵愲㈹㈰㔸〵㘵挸㐷搲ち㈲㘵㌳散㡣㠲㈹㜶㌸〲㔲㕡㔲㔲㐶㠶㑣㐶晥搷慡㘵改つ挹扤㘴㉡〱慣㈴㘹ㄱ搲〹ㄹ〴㐹挸㈴搴㈲搴㈶搴㈱搴㈵㕣㐱挸㈲搴㈳㕣㐹戸㡡昰㉢㐲㝤㐲〳㐲㐳挲搵〴搶㤷㡤〸㡤〱戵㥢〰㐶收昶ㅡ㔲㌴〹㙥㐶㐴㐳㘱扢㜵㘰㔴㝣捣㌷戵㙢㤷搳㉥愷㐳㤷戶㕤㜳摡戶づ攴㔶〵愳㔵㘱晢愶ち扢㉡ㅡ㉥っ戶づっ慤㉡ち㤶ㄵ攷摢搳㐷㠶㈶摢ㄵ㌷搹㐵㙤㍢ㄴㄵ㜶散摡慥㘳愷㑥ㄳ扡㜵敢㕡晢ㅡ㈸て捥敤㌵㌴㙣㑦㠸晣㔲㥡扦愱收㤰摣㕥㌹㠳敤攸㉦愵㜹㉤㌴㈱搹㍢㔴㕥㔸㔶昱ぢ㠹愶昱㥣戶敢㙤ㄷ㤷昱攴摢㜶戸慣㘲㘲づ㠶㝤搹㠱挶㔶㤷ㅣ㜰㐶ㄵ㠶㜳敤㘰㜰戸㍤㠱㈷扣㙥昹㙤ㄱ㍢户㉡ㄲつ㤵て㉥㉣户㙢㤷昳〰摡㘱扢愲搸㡥搴㉤敦㌳慤搸づ㉡㜶㈴愳ㅣ扢㤲㤴捡攰㡡昲昸㐹散㕦㘲㔷㐴换愲搳敢㔰㘸㜸㘱挵㐴㥢㤴戴昲扣慡戲㤲愴搴㔴㤱㥡㥡㤴㈲㝥敢㌶戶搸愹㔲㈳㡡挵㍣㠵㌵㜲㜱搹戰昸㤵扡慥㥡㍥捦搹㤰捡㘸扥ㅤ慥戰㠳慡〴㑦㘶慢㙡扣搸㌱㡡㥦㡡㝦ㅤ㉣㙤㠸㈷㑡搴㔲㝦㝦㜴挳㐲㐹㌲㐰挸〶㔸㑤〱愹㝤摡㜵敥㈲慦㘳㕦㌳㠰㐸㍤㠳扦㘰㜳㈷晥ㄵ㈵ㄷㄴ㈶ㄷㄴ㈵ㄷㄴ㈷ㄷ㤴㈴ㄷ搸挹〵ㄳ㤲ぢ㈶㈶ㄷ㤴㈶ㄷ㤴㈵ㄷ㑣㑡㉥㤸っ㡥晥㘴愴愷㈷慢捦㤷㝤㜶㘶ㅦ㝡攳㠵扣㔷㤷㕥挸ㄹ昵㥢愷扥ㄳ晣愳攵㤹㑥㤲捤〹㉤〰搶昵〰っ愲㝤㌷昹㍢昶戵〴〸昱㌱〶挱㠱扣ㄵㅤ㥦晢攱㐳㠵晤㜶慦慥㤵晣捣摥㝡㡤〵晦攲攳ち慤挹㙥〳戰㜲〰㔰攸搴㔶摥挰扥戶〰㈱摥㔷ち捦㝣㝦晦摣敢ㅢ攷收㙤散㤸扥攸愹ㄱ搷㝦㈷㜸戹㠸㉢戴㈷扢〳挰敡〸㠰㐲㠷㜶戲ㄳ晢㍡〳㠴㜸㔷㈹㝣摥慤摤㐷ㄷ摡愶收㍤㤲㔱晦昴戵㌳㝥㜷㑣昰㕡ㄳ㔷攸㑡㜶㌷㠰搵ㅤ〰㠵㡥ㅤ㘴て昶摤〸㄰攲愰㔲戸㘲搲㝦づ扢㘱收戶晣㉤〷攷㐴㉢摦㤸㘶ぢ㝥㙦攳ち㌷㤳㝤ぢ挰扡ㄵ挰㌱戴㤷㍤搹搷ぢ㈰挴慢㑡攱搴慤换㝡㡦扤愱㐳摥㈳愷扦慦昳慢晤㍢㍥ㄲ扣捡挵ㄵ㝡㤳摤〷㘰昵〵㜰っ㥤㘵ㅥ晢晡〱㠴搸慢ㄴ㉥晤搷搹搰㉢㠷㝢昴㕥㌰愶戸愷扤㘶㘹㝤挱㑢㘴㕣㘱〰搹昹〰㙢㈰〰ち㥤摡换㐱散ㅢっ㄰㘲愷㔲㔸晤昳摦㐶户㕥扤㜶挰㥣㜵戳〷㥦ㅡ戶㝥㥥攰㌷㈳慥㌰㤴散㘱〰㙢㌸㠰㘳㘸㉦㐷戰㙦㈴㐰㠸慤㑡㘱换㠸戵晦㝥㘶㘵攳扣搷挳㔶㠳攳㥦㉥攸㈴㜸㜱㡥㉢㡣㈲㝢㌴挰ㅡ〳攰㜱攸㉡挷戲㙦ㅣ㐰㠸㘷㤵㐲晥慣愶㘳㘶㍣㍢㈶㙦挷晥户㝦ㅢ㍣㌲昳㥣攰㤵㍤慥㜰〷搹攳〱搶㥤〰㈸㜴敥㈰ぢ搸㜷ㄷ㐰㠸㜵㑡愱换挸㉥㔷㑦戹晤扡挱㉦㘷㈴㝤昸㙦㠷㔷攵〹摥ㄶ攲ち㐵㘴ㄷ〳慣ㄲ〰ㄵ扡㑡㥢㝤ㄳ〰㐲㍣愹ㄴ㌶散㕦摥㝢搱昶㜳晤收㤵昶扤愹扤扤㜲㥦攰㍤㈵慥㔰㑡㜶ㄹ挰㥡〴㠰㐲晢慥㤲㝦ㅢ㌲〸㄰攲㌱愵㜰㌶㕣搰晢挱戵㤵昹慦㙥て捥㥣㥥摦攴ㄱ挱ㅢ㔲㕣愱㠲散㄰挰慡〴昰㌸㜴㤲㜷戳㉦っ㄰㘲愹㔲㔸㝣㑥㥣ㅦ㍦昲㕣摦〷㙥㜹昱戵晢慥晣愴戶攰摤㉣慥㄰㈵扢ち㘰㑤〱㐰愱㑢㍢㌹㤵㝤搳〰㐲㉣㔰ち㕦㉤敢㝥挳㡤搹敢晢㉦㍥㔵晦挳扤㈹㐳㝡ぢ摥ち攳ち㌳挸㥥〹戰㘶〱愰搰愹㠳扣㠷㝤昷〲㠴㤸愳ㄴ㡥扣晦㔴收昷敦㉣ㅦ戸昴㡤昳㡢㡥つ㜹昹㑤挱晢㘸㕣㘱㌶搹㜳〰搶晤〰㈸㜴散㈶攷戲㙦ㅥ㐰㠸㤹㑡㘱挶搸攸㥣ㄳ愵㈹戹て晣戳挹挴㔹㐷㡡昷〸摥㠴攳ち昳挹㕥〰戰ㄶ〲㜸ㅣ扡挹〷搹户〸㈰㐴㤵㔲戸㜹改挱㥦ㅢ慤㍦㜰敢捡捡挵㍤㤶㝦扡㐱〸摥挱攳ち㑢挸㕥ち戰ㅥ〲㔰愱愳㝣㤸㝤换〰㐲㠴㤴挲㙥昱摣㠹㡡搶攷㜲㜷愶㤶つ摦㌰户散ㄳ挱摢㝦㕣攱㔱戲ㅦ〳㔸换〱㔴㘸㉢ㅦ㘷摦ち㠰㄰㘵㑡攱㔲晤㙦㤳晢㥦扢慤敦敡戵㐵㔷っ摢戳敢戸攰摣㈱慥昰〴搹㑦〲慣㔵〰ㅥ㠷㉥㜲㌵晢搶〰㠴㈸㔶ち㍦晤昸昶昵㉦㥤㝥㍦㙦㑥昳㠱摤㥢捦晥戳㄰㔷㈳ㅤ㔷㔸㑢昶㍡㠰戵ㅥ〰㠵㑥敤攴搳散摢〰㄰㘲扣㔲搸㌶晡昹昲〷ㅢ㔵っ㕥㕤愷搹摢挳㑦捣ㅤ㈹㌸㙢㠹㉢㙣㈴晢㔹㠰戵〹〰㠵捥ㅤ攵㘶昶㍤〷㄰㘲戴㔲ㄸ昴挵慥㠳㙢ㄶ㔷昶搹昹晤愵㝥挷敦㉡搸㉡ㅡ㈱ㅤ㔷搸㐲昶㔶㠰戵つ挰攳搰㐱㙥㘷摦ぢ〰㈱㠶㈹㠵摤㝦ㅤ晣摡㍢搷㐴〷㉣慣昷挵㍦づ㙣㘸㜴㔲㜰扥ㄴ㔷搸㐱昶㑥㠰昵㈲㠰ち㥤攵㉥昶敤〶〸㤱慦ㄴㄶ户㔹摡敥㡢㠵搳晡㉦㑡㙦晡晡㙢慦㑣扣㍤㉤㠰㜴捤敥扣ㄶ㤸㠱摣搲㔰挴慥㠸摤㠹㕢㤵て㉤㉢㥥㙣㠷㐷搸㥣㜵摡㈵㈳愲㠵㔱扢扥㌱㌵㘸㌵愴㈲户㤴㌷晢㤲愶㘶敦㠴㍥搳愲㜶㐵㠹㕤㌲㌴ㅣ慡戴挳搱改㈳ぢ㡢㠲㜶㠳换㈸㍤㌱㡤㥤㘲㈳昱敢换扡晢㠶㡡慢㈲戹愱㡡㘸㌸ㄴ扣㍣搳戳㘴㑡㈱愶㈳㈵㠳㐲㈵㜶㔲㑡㡡㄰㐹挹㔷愹摢㜲㥦㈹㤸㝣昴㉢慣㈸〹摡㘱摦愹戲攰摣挲捡挴㈷㈹㡤㌷敦挴愷ㄹ挹搸㑢挶㘶㌵㤸㠳㐶搲捡晢㠶挲㤱㤴ㄴ户愲晤ち㈳愵㔱晡昶㑦㔲㙦て㘱㉦㈰敤㍡㐰㑤㘶㌱晣㘶㡡㐲㔱㈴㡡㐵㠹戰搳换㌱换ㄹ㌴㌱㥣ㄶ㥢扣愵㤵昷戶㈳挵㤲戳戳晥㌸〹搳㉣㐴挱㉡捣改㜸㔸敤㘹搱摥㠵搱挲昴昲愱㠵㤸摤㐵敢㘲㐷昰㕡㈹㠱摡㝡㌳㌶〹搴ㅢ㤴换搲ㅢ㕡戵捥晦㜵㐰晣㉡扤㘵搴昸㤷㜶扣㤴㡣搵愱㜰㍣愲㙡㥤㔸㥦㤶捣㔴㕢搰换㡡㠵㠶㔸慤㔸㐷㕣〹摥昱晤挷ㄷ㈰㈹〵㌳换搸㍦㜱戴昸昱㍦㝣ㄸ㈷づ搴㙦㈰㤰㘱昹㥥㤸㘶搵收㠸戱戹㘴㜱搱㙤搱戲㘰㈴〷㠳挹ぢ㠷慡㉡愹昳晦㕤敦㤷ㅡ㌷挷ㅥ晦㝣㜷挹晦摦捦㕥捦㤴㑤㐱戱㕥㈱て㤷ㄹ挵挷㤷㜶ㅦ㍡㌲攳㔹挹慣㌳ㄹ摢搳㈳㤷搶っ扢㈴㌲ㄹ攷挴戵㜶昹㤰攲愲㤱㘱㍢昶〳㈳㈳戶㌱扤搲慥㔳㍥㍡ㄴ㥥㕣ㄴち㑤收㌷慣㙥㙣㉢㔲㙡摢㔱㑥搹㙢愹ㅦ㈹㡣㠵㄰㈹㈹㤷㑤捤㡤戹晤戵搰户摥〴搴改ㄹっ〶戴㘲挴㝡㡢晤昸㐲攰扣㕢〷ㄱ㜷ㄸ㔴㔸ㅣづ戵挱㉦搷攲搲挲㐸戴慣戸㑤晦㡡捡慡㘸愴㑤㜱愸扣㌲㘸㐷敤㌶ㄵ㜶㜴㉡〶搴愶ㅣ㔷慢㘰捥戴㘰愴㕣摣愸㉥搰㌳㔲㔲搳戶扤㜹㕦晥扡扡ㄵ摢㠷㌶㑢敥㈸㝡愸㠴㘳愶摦ㅣ愵〲㉣ㅤ扢㘲㠹ㄶ〸戳搱攴㈱挲㘱㠰攰㙣㥦搷㡣昸愷㈶㈷昲㝡㔰㥤愷攳㈸㝡㜱ㅥ㝤㤲㝥㌹搱ㄲ扢昳㕣㑡ㅥ㍢挹愳㈵㜹㤸㐴㙢㉦换慤㔴挲昱搳愴㌵㜶ぢ愰㈹换㙤㄰挶㉣㥦㐴㈰㑦〱〴㝦㥥㈴㘶㌹㠷晢㍡扥㥤愷搱ぢ换㍥㐹扦㥣㘸㡢摤摤㉣㌷昱戲摣㔸㈵ㅣ扦愵摡㐳㈹㠰愶㉣㜷㐰ㄸ戳㝣ㅥ㠱扣〰㄰晣㍤㤵㤸攵㡥摣搷㘱昹㈲㝡㘱搹㈷改㤷ㄳ㥤戱扢㥢攵摡㕥㤶㙢愹㠴攳挷㕦㔷㈸〵搰㤴攵㙥〸㘳㤶扦㐱㈰扦〵〸晥〰㑣捣㜲㜷敥敢戰晣〳㝡㘱搹㈷改㤷ㄳ晣〹敡㘶昹愷㥦攳㍦慤ㅤ㝦换㍦慡㠴攳搷敡捤㔰ち愰㈹换户㈰㡣㔹戶〴㠶㥤づ㄰㍤搱㤵㤸攵㕢戱㠷搳㜲㈶挴㘰搹㈷改㤷ㄳ扤㈰敡㘶昹㙢㉦换㕦愹㠴攳攷㜵㙦㈸〵搰㤴㘵晥扣捥㐶㤳つ㌰㐰搹㄰㈰昲戰㤹㤸攵扥ㄴ㜰㥣攵㐶㄰㠳㘵㥦愴㕦㑥昴㠳愸㥢攵戳㕥㤶捦愸㠴攳㜹挰〰㈸〵搰㤴攵㝣㠴搹㘸戲㌹〶㈸㕢〰挴㈰㙣㈶㘶㜹㈰〵ㅣ㤶㕢㐲っ㤶㝤㤲㝥㌹㌱ㄸ愲㙥㤶㡦㜹㔹㝥㑦㈵ㅣて㌰㠶㐲㈹㠰愶㉣昳〱㐶㌶㥡散㡣〱捡㉥〰㌱〲㥢㠹㔹ㅥ㑥〱㠷攵敥㄰㠳㘵㥦愴㕦㑥㡣㠴愸㥢攵〳㕥㤶昷慢㠴攳㠹换㈸㈸〵搰㤴攵搱〸戳搱㘴㕦っ㔰收〱挴㔸㙣㈶㘶㜹っ〵ㅣ㤶〷㐰っ㤶㝤㤲㝥㌹㌱づ愲㙥㤶户㜹㔹摥慡ㄲ㡥㐷㐴㝣㌰ㄴ㐰㔳㤶昹㠸㈸ㅢ㑤㡥挲〰攵㘸㠰㈸挰㘶㘲㤶敦愴㠰挳昲㌸㠸挱戲㑦搲㉦㈷敥㠲愸㥢攵㌵㕥㤶㔷慢㠴攳㤹㔶ㄱ㤴〲㘸捡㜲㌱挲㙣㌴㌹〱〳㤴ㄳ〱㠲捦戵ㄲ戳㕣㐲〱㠷攵㐹㄰㠳㘵㥦愴㕦㑥㑣㠰愸㥢攵㈵㕥㤶ㄷ慢㠴攳㈱㕣㈹㤴〲㘸捡㌲ㅦ挲㘵愳挹㈹ㄸ愰㥣ち㄰㤳戱㤹㤸攵㐹ㄴ㜰㔸㥥〱㌱㔸昶㐹晡攵㐴㄰愲㙥㤶㘷㜹㔹㥥愹ㄲ㡥愷㠶ㄵ㔰ち愰㈹换㝣㙡㤸㡤㈶攷㘳㠰㜲〱㐰昰挹㘱㘲㤶㉢㈹攰戰扣〸㘲戰散㤳昴换㠹㌰㐴摤㉣〷扤㉣㑦㔶〹挷㘳捥㈸㤴〲㘸捡㌲ㅦ㜳㘶愳挹ㄵㄸ愰㕣〹㄰㔳戱㤹㤸攵㈹ㄴ㜰㔸㕥〵㌱㔸昶㐹晡攵挴㌴㠸扡㔹扥挳换昲敤㉡攱㜸㉥㍢〳㑡〱㌴㘵㤹捦㘵戳搱攴㈶っ㔰㙥〶〸㍥㥢㑤捣㌲㥦敢㍡㉤㙦㠱ㄸ㉣晢㈴晤㜲攲㕥㠸扡㔹ㅥ攸㘵㌹㕦㈵ㅣて㤲㘷㐳㈹㠰愶㉣捦㐱㤸㡤㈶昷㘰㠰㜲㉦㐰捣挵㘶㘲㤶敦愷㠰攳㉣敦㠳ㄸ㉣晢㈴晤㜲㘲ㅥ㐴摤㉣摦攸㘵戹㠷㑥㔴㝦昲㍤ㅦ㑡〱㌴㘵㜹〱挲㙣㌴㜹〸〳㤴㠷〱㠲㑦扦ㄳ戳扣㤰〲づ换㐷㈱〶换㍥㐹扦㥣㔸〴㔱㌷换慤戵戳敡㡦〸㕡愹㠴攳㔱晤ㄲ㈸〵搰㤴㘵㍥慡捦㐶㤳㈷㌱㐰㜹ち㈰昸戸㍥㌱换て㔱挰㘱昹㌴挴㘰搹㈷改㤷ㄳ换㈰敡㘶戹㠹㤷攵挶㉡攱㔸㕢㜸ㄴ㑡〱㌴㘵㤹㙢ぢ搹㘸昲㍣〶㈸㉦〰〴搷ㄷㄲ戳扣㥣〲づ换ㄷ㈱〶换㍥㐹扦㥣㔸〱㔱㌷换戵扤㉣搷㔲〹挷㘲挸ㄳ㔰ち愰㈹换㑦㈲捣㐶㤳摦㘰㠰昲㕢㠰攰㠲㐸㘲㤶㔷㔱挰㘱昹〷㠸挱戲㑦搲㉦㈷搶㐰搴捤昲㑦晦昴晡扤慣ㄲ㡥搵㥢戵㔰ち愰㈹换敢㄰㘶愳㐹㉢ㄹ㤰づ㄰㑦㘳㌳㌱换敢㈹攰戰㥣〹㌱㔸昶㐹晡攵挴〶㠸扡㔹晥摡换昲㔷㉡攱㔸㙥摡〸愵〰㥡戲捣攵愶㤸攵〶戴摣㤰㤶㌷愳㉢㌱换㥢戰㠷搳㜲愳戸㘵㥦愴昴挹㠹攷㈰敡㘶昹慣㤷攵㌳㉡攱㔸ㅦ摢〲愵〰㥡戲扣ㄵ㘱捣㜲㜳㕡㙥㐱换㕣㈳㑢捣昲㌶散攱戴摣㌲㙥搹㈷㈹㝤㜲攲〵㠸扡㔹㍥收㘵昹㍤㤵㜰㉣攸敤㠰㔲〰㑤㔹收㠲㕥捣㜲㘷㕡敥㐲换㕣搴㑢捣昲㡢搸挳㘹戹㝢摣戲㑦㔲晡攴挴㙥㠸扡㔹㍥攰㘵㜹扦㑡㔴㕦㠱㑣摤〳㈵摦挵㤶㜴㄰㌲〷㠶ち㑢晡ㄶㄶ攳㙤戰㜴昵㉥㔸㐶㉥ㅥ愷㘳㥤㉡㥣挵挵戴㕣㍣㑡挷㠲攲㤴戲ㄲ㍢㥣挱㡥ㄱ㜸搷㉤㤵换㜰㔶㙣㠱㉢㠲昵愰㤴愴戴戴㕡ㄹ㙥戵晡㙢慤㘶㉥敦搲昵㜷攸㝦㍤慣㉢ㅦ搱攱挲㤰〲㤴㝤㜹㜲昲㜸㜲昶㘲㤳㝥慡ㄱ晡㤱搰㥦㠴㝤〶愱ㅥ攲捣㑣愲ㅣ㐰㐲㍥〹㠷っ〲㐲㕤㘲㈰〹㠳㐸㌸散㑥ㄸ㑣挲㄰ㄲ㡥ㅡ〴愳挴㔰ㄲ㠶㤱㜰搲㈰㈰搴㈵㠶㤳㌰㠲㠴㔳敥㠴㤱㈴摣㐶挲㘹㠳㘰㤴ㄸ㐵挲㘸ㄲ捥ㅢ〴㠴扡挴ㄸㄲ挶㤲㜰挱㥤㌰㡥㠴摢㐹戸㘸㄰㡣ㄲ㜷㤰㌰㥥㠴㙦っ〲㐲㕤攲㑥ㄲち㐸昸搶㥤㜰ㄷ〹㠵㈴晣㘰㄰㡣ㄲ㐵㈴ㄴ㤳㘰〹搷戳㔹㐲㠲㑤㐲扡㍢㘱〲〹ㄳ㐹挸㌴〸㐶㠹㔲ㄲ捡㐸㘸㘰㄰っㄷ㤳㐸㤸㑣㐲㐳㜷㐲㤰㠴㜲ㄲㅡㄹ〴愳㐴〵〹㈱ㄲ㥡ㅢ〴愳㐴㈵〹㜷㤳搰挲㥤㄰㈶㈱㐲㐲㑢㠳㘰㤴㠸㤲㔰㐵㐲㘷㠳㘰㤴㤸㐲挲㔴ㄲ扡戸ㄳ愶㤱㌰㥤㠴敥〶挱㈸㌱㠳㠴㤹㈴昴㌵〸㐶㠹㔹㈴摣㐳㐲㥥㍢攱㕥ㄲ敥㈳㘱㠰㐱㌰㑡捣㈶㘱づ〹愳っ㠲㔱攲㝥ㄲ收㤲㌰摡㥤㌰㡦㠴〷㐸ㄸ㘷㄰㡣ㄲ昳㐹㔸㐰挲〴㠳㘰㤴㔸㐸挲㠳㈴㑣㜴㈷㉣㈲㘱㌱〹㤳っ㠲㔱㘲〹〹㑢㐹㤸㘲㄰㡣ㄲて㤱昰㌰〹㔳摤〹换㐸㜸㠴㠴ㄹ〶挱㈸昱㈸〹㡦㤱㌰摦㈰ㄸ㈵㤶㤳昰㌸〹ぢ摣〹㉢㐸㔸㐹挲㈲㠳㘰㤴㜸㠲㠴㈷㐹㔸㘱㄰㡣ㄲ慢㐸㔸㑤挲㑡㜷挲ㅡㄲ㥥㈲㘱㤵㐱㌰㑡慣㈵㘱ㅤ〹㥢っ㠲㔱㘲㍤〹㑦㤳戰搹㥤戰㠱㠴㘷㐸搸㘲㄰㡣ㄲㅢ㐹㜸㤶㠴㍤〶挱㈸戱㠹㠴捤㈴散㜵㈷㍣㐷挲昳㈴散㌳〸㐶㠹㉤㈴㙣㈵攱㤰㐱㌰㑡㙣㈳㘱㍢〹㠷摤〹㉦㤰昰㝢ㄲ㡥ㅡ〴愳挴づㄲ㜶㤲㜰搲㈰ㄸ㈵㕥㈴㘱ㄷ〹愷摣〹扢㐹㜸㠹㠴搳〶挱㈸戱㠷㠴扤㈴㥣㌷〸㐶㠹㤷㐹㜸㠵㠴ぢ敥㠴㝤㈴散㈷攱愲㐱㌰㑡ㅣ㈰攱㔵ㄲ扥㌱〸㐶㠹搷㐸㜸㥤㠴㙦摤〹㙦㤰昰㈶〹㍦ㄸ〴愳挴㕢㈴ㅣ㈴挱〲戸摣晤摦㈶攱ㅤㄲ搲摤〹㠷㐸㌸㑣㐲愶㐱㌰㑡ㅣ㈱攱㕤ㄲㅡㄸ〴挳挵㔱ㄲ摥㈳愱愱㍢攱ㄸ〹挷㐹㘸㘴㄰㡣ㄲ㝦㈰攱㝤ㄲ㥡ㅢ〴愳挴ㅦ㐹㌸㐱㐲ぢ㜷挲〷㈴㝣㐸㐲㑢㠳㘰㤴昸㠸㠴㡦㐹攸㙣㄰㡣ㄲ㈷㐹㌸㐵㐲ㄷ㜷挲㈷㈴晣㠹㠴敥〶挱㈸㜱㥡㠴㌳㠰慣扥〰㝥戲昲㜴搰㑦〷晤㜵㌰〰㠱〵㡥㜵ㄶ㐱㔶㙥慦㠲换㕥㜳户晥㡣摥㕡〵昱ㄷ㍢㐶攲㉤ㄲ敢㔳㜴搴㈹㠸扦〸ㅦ㥦㔴㕡攷搰㔵ㅢ㝢挶㌶昱扡㝣挴晡っ㍤㜵搱㘳扣戸㘶㝤㡥扥㝡攸扢晣㙤昸慣㝣㜴戳㝥㠶挰晦挴㐰㥣㤴ㄹ㝢㘹㕣〶㄰捡㉦搱㤱㌵㤰扤昸㘴つ搲挱㘰ㅤっ搱挱㔰〴㌱ㄷ㝦㐱攰㜴㜱ㅥ扤㤷戹戸㠰㡥㙡㉥晥㡡慥换㕤晣つ㍤搵㕤㕣㐴㥦㡢㡢㘱攸慥收愲〵㠶ㅣ㝦晦晣敦㐸㘶つ〷昰㤳㌵㐲〷㈳㜵㜰㥢づ㐶㈱愰㡡愴ぢ挹㐱㑢づ㔴㜲㘸㤲愳㤱㉣㥦㌵ㅡ㔰慤ㄸ摦〲㤱慤〹摦㤰㌱〶挰㑦搶㔸ㅤ㡣搳挱敤㍡戸〳㐱つ㡡㡤㔷㌴攳晣㜴㠰戲㙣㑦戸㠴㘴搶㥤㕡戱㐰〷㜷改愰㔰〷㥣㑦搶愰ㄸ㘷㥣搵㥣㜵㘳㥤慥㠴っ晣捥挸㉡搱㡡戶づ㈶攸㘰愲づ㑡ㄱ搴愰㔸㤹愲ㄹ捥昸㠳㐶摥㑣愸挷㘲㤳戴攲㘴ㅤ〴㜵㔰慥㠳ち〴㌵㈸ㄶ㔲㌴愳ㄸ㔷晢㘵㙦㐲㈳ㄶ慢搴㡡㜷敢㈰慣㠳㠸づ愲〸㙡㔰慣㑡搱㡣㘲㕣㘷㤷〳〸搷戱搸ㄴ慤㌸㔵〷搳㜴㌰㕤〷㌳㄰搴愰搸㑣㐵㌳㡡つ㘳㥤愱㠴搶㉣㌶㑢㉢摥愳㠳㝢㜵㜰㥦づ㘶㈳愸㐱戱㌹㡡㘶ㄴㅢ捤㍡愳〸㥤㔸㡣㌳㔵㝥戲㌸㕢㡤〵昳㜴昰㠰づ收㈳㠸ㄵ攳㌵㑦昲ㄲ㈷㜹㔹㤳扣㤰㐹㕥扢㈴㉦㔶㔹ぢ〰愴ㄹ挵戸慡㉢戹搲㉢㙦㘶戱㠵㘰昰㤳昵愰づㄶ改㘰戱づ㤶㈰愸㐱戱愵㡡㘶ㄴ㉢㠶戲㉣㈲攴戱搸㐳㕡昱㘱ㅤ㉣搳挱㈳㍡㜸ㄴ㐱つづ攳㘳㡡㘶ㄴ攳㑡愶㉣㈵っ㘵戱攵㕡昱㜱ㅤ慣搰挱㑡ㅤ㍣㠱愰〶挵㥥㔴㌴愳ㄸ搷㄰㈵搷ㄵ攵㔸ㄶ㕢愵ㄵ㔷敢㘰㡤づ㥥搲挱㕡〴㌵㌸㡣敢ㄴ捤㈸挶搵㍢挹ㄵ㍤㔹挴㘲敢戵攲搳㍡攰㘴㤶㥦㉣㑥㘸㘳挱㐶〴㌵㈸昶慣愲ㄹ挵戸㙥㈶㘷㄰㈶戳搸㈶慤戸㔹〷捦改攰㜹ㅤ㙣㐱㔰㠳挳戸㔵搱㡣㘲㜳㔸㘷㌶㠱晦挵㌱㙢㥢㔶摣慥㠳ㄷ㜴昰㝢ㅤ散㐰㔰㠳㘲㍢ㄵ捤㈸戶㠰㜵收ㄳ敥㘱戱ㄷ戵攲㉥ㅤ散搶挱㑢㍡搸㠳愰〶挵昶㉡㥡㔱㡣慢㌴㜲㐹慣㈲㡢扤慣ㄵ㕦搱挱㍥ㅤ散搷挱〱〴㌵㈸昶慡愲ㄹ挵戸㍥㈲ㅦ㈵㍣捣㘲慦㘹挵搷㜵昰㠶づ摥搴〱攷扢㌵㈸挶ㄹ㌱㘹㐶㌱慥㑣㐸慥㔶挸㈷㔸散㙤慤昸㡥づづ改攰戰づ㡥㈰愸㐱戱㜷ㄵ捤㈸挶㌵〱挹㜵〲昹㌴㡢ㅤ搵㡡敦改攰㤸づ㡥敢攰て〸㘲挵晣慦㡤敦㉢㥡㔱㡣㑦攳攵㐶挲ㄶㄶ晢愳㔶㍣愱㠳て㜴昰愱づ㍥㐲㔰〳㘷ㅦ㉢㥡㔱㡣捦挱㈵㥦㡤换㕤㉣㜶㔲㉢㥥搲挱㈷㍡昸㤳づ㑥㈳愸㐱戱㌳㡡㘶ㄴ摢挹㍡㝣㉡㉤て愰㤸昸ㄲっ户挷扥户晥攴戱㠴㜳㡢㑡㌸㕥㕦晥扢㠷㔲て㉦愵敥㉡攱㜸㉢昸ㅢて愵捥㕥㑡㥤㔴挲昱戲敤㈵て愵㜶㕥㑡㙤㔵挲昱づ㉢㈷㙣㙥挷愹戵㤷㔲㉢㤵㜰扣ㅡ捡搹㤸㥢㔲ぢ㉦愵收㉡攱㜸攳㤲㔳㉤㌷愵愶㕥㑡搹㉡攱㜸㤱㤱昳㈸㌷愵㙢扣㤴㥡愸㠴攳晤㐰㑥㤲摣㤴慥昶㔲㙡愸ㄲ㡥搷敥㌸〳㜲㔳扡捡㑢改㑡㤵㜰扣捤挶改㡤㥢㔲㕤㉦愵㍡㉡攱㜸㐹㡣㜳ㄷ㌷㈵改愵㤴愱ㄲ㡥㜷慦㌸㌱㜱㔳㑡昵㔲㑡㔱〹挷㉢㑤㥣㜵戸㈹㕤晡搱攳㉦昸㘷㤵㜰扣㈹挴㈹㠵㥢搲て㕥㑡摦慢㠴攳〵ㅣ捥ㄷ摣㤴晥挷㑢改扦㔵挲昱㕥ぢ㈷〳㙥㑡晦攱愵昴て㥤愸晥扡〸敦昴㙥㑡㕦改ㅤ慡扦㠵㜱㔱㈵ㅣ㙦㘱捣昷㔰㍡敦愵昴ㄷ㤵㜰扣摣挰㝢戴摢㤸㍥昷㔲晡㑣㈵㥣敦っ㜸㈸㥤昵㔲㍡愳ㄲ㡥愵㜸摥㕤摤挶㜴捡㑢改愴㑡㌸㔶戸㜹敢㜴㔳晡挰㑢改㠴㑡㌸ㄶ㡥㜹㕦㜴㔳㍡敥愵㜴㑣㈵ㅣ敢戱扣改戹㈹ㅤ昱㔲㍡慣ㄲ搵㤷㌹㙢晤㉦攵㐱㈶㝡</t>
  </si>
  <si>
    <t>㜸〱扤㕢〹㜸㔴㔵㥡捤捤昲挸つ㡢㐵慢愰㠸㕡㔱〷ㅣ㤶っㄱㄲ〲慥㄰〸㤰戰㠴㉤㉣㉥㌱愹㍣㈰㔰㤵挲慡㑡㔸摣㐰ㅣ㌶㔱ㄴ㄰〴㔱㔴㄰ㄵㄴ㐵㄰ㄴ户戶改〶ㄷ㙣户ㄶ㕡搰㙥敤㜱㜰挶慤摢㔱戱㔵㐶攷㥣慡㝢㝢㉥㜹换愴扥捦㙦敡晢敥攱㝦昷㍦敦晣昷扣㔷愹㜷摦扢㡦っ㤱㤱㤱昱㌳㍥晣㤷㥦㙣〶㥤挷捥㠹㈷散㐸㐱㘹㌴ㅣ戶㐳㠹晡㘸㐳扣㘰㐰㉣㔶㌳㘷㜸㝤㍣㤱〵㠲㔵㕤㡦㝣㍣愷㍡㕥㍦搷捥慤㙥戲㘳㜱㤰㜲㌲㌲㜲㜳㘵㈶昲愷慢ㄶ搰ㅢ㤲㝢挹㙣〲㔸ㄹ搲㈲戴㈲攴ㄲ㈴㈱㡦搰㥡搰㠶搰㤶搰㡥㜰ㄲ㈱㐰㘸㑦昸ㄵ攱㘴挲㈹㠴㔳〹ㅤ〸ㅤ〹愷ㄱ㔸㕦㜶㈲㥣〱㘸搳ㄹ㌰慥㜴攰愸摡改㜰㌳㌶ㄱ㡤搹㍤㠲㔵愹㌱㕦㕣㔸㔸㔰㔸搰扢㙦慦㤲㠲㕥㍤㠲愵㡤攱㐴㘳捣扥戸挱㙥㑣挴㙡挲㍤㠲㤵㡤戵攱晡㔰㠵㍤㘷㕣㜴㠶摤㜰戱㕤摢慢㜷㙤㑤㥦㤲挲㍥㐵㐵㔳晡昵㉢㘹㜳㈶㤴㐷㤶づ慣㡣搹㔳攲扦㤴收㔹搴ㅣ㔵㍡戰㘰愴㥤昸愵㌴捦㠶㈶㈴〷㐵㈳㌵昵つ扦㤰㘸づ捦㘹攱㈰㍢㔴捦㤳㙦摢戱晡㠶愹〵ㄸ昶〹〷ㅡ㕢㝤ぢ挰愹慡㠹㤵摡攱昰ㄸ㝢ち㑦㜸扢挸昸戸㕤摡ㄸ㑦㐴㈳㈳㙢㈲㜶㥢〸て愰ㅤ戳ㅢ㐲㜶扣㕤㘴昰散㤰ㅤ㔶散㜸㙥〴扢㤲㤴捤攰愴㐸敡㈴づ慢戳ㅢㄲ昵㠹㌹㙤㈹㌴愶愶㘱慡㑤㑡㑥㘴㐸㘳㝤㕤㐶㜶戶挸捥捥挸ㄲ晦攴㌶戶攴愹㔲㈳㑡挶㍣㠵㉤㜲㜱挲戰昸㤵㍡户㤹㍥捦搹愸㤹㠹ち㍢搶㘰㠷㔵〹㥥捣敥捤㜸挹㘳㤴㍡ㄵ晦㌸㔸摡㄰㑦㤴㘸慤晥晥攸㠶㠵㌲㘴㤰㤰て戰捥〱㘴て㉥㉣敥㈷捦㘵摦㜹〰㤱㝤〴㝦挱收㑥晣㉢捡慣慥挹慣慥捤慣づ㘵㔶搷㘵㔶摢㤹搵㔳㌲慢愷㘶㔶㑦换慣慥捦慣㥥㥥㔹㍤〳ㅣ晤挹㙤搵㉡㔳㝤㘲㌷捤摥户晥攸挷挳㤷㤶㥦㝦搵搹㠵㑢扦ㄴ晣愳攵㤹捥㤰㕤〸㕤〱搶昹〰っ愲愸㐸晥㌳晢扡〱㠴㜸ㄷ㠳攰㐰攲㌷㜶捥㥣晥搸㥦㐶慥慥㝢㜷㜹攳晢挵ㅦ〸晥挵愷ㄴ㝡㤰摤ㄳ㘰ㄵ〰愰搰慦㐸晥ぢ晢㝡〱㠴㜸㐳㈹ㄴ搶昵ㅡ摦昵㔸㔹挵㡡昷㉥ㄹ㜳搷㑢户ㅦㄷ晣戹㐸㈹㕣㐰㜶㙦㠰搵〷〰㠵扥扤㘵ㄱ晢㡡〱㐲扣愲ㄴ㡡ㄷ㔴㡦ㄹ㜲挳慡㈱㑦㍤搶愳搳昷敦散㝤㐶昰户㈶愵㔰㐲㜶㍦㠰搵ㅦ挰㐳搹㑢㕥挸扥㡢〰㐲散㔵ちㅢ捥攸㤰㍤昹散㑦㐶扣㌸戸㑦挷㙢㑡㕦昸㐱昰㝢㥢㔲戸㠴散㑢〱搶㘵〰㡥攱〲㌹㠰㝤〳〱㐲㍣慦ㄴ㙥㔹摦扢㜶敤捥户〷慤扥攸敢㈳㕢㍦㍡晡扥攰慦㕣㑡㘱㄰搹㠳〱㔶ㄹ㠰挷愱㔰づ㘱摦㔰㠰㄰扢㤵㐲摤㈹ㅦ敤晤愶捦㈹挳㤶扣㕣晡昵愰愱㐵愷ぢ晥㐴愶ㄴ捡挹慥〰㔸挳〱ㅣ㐳㕦㌹㠲㝤㈳〱㐲㙣㔷ち㥢㌶っ扦敤捦搷㝤㌳㜸攳㝦㕣昱㜲搱捣ㄱ捦ぢ㝥㌳㔲ち㤵㘴㡦〶㔸㘳〰㔰㈸改㉤挷戲㙦ㅣ㐰㠸慤㑡㈱㈷㙢㐰敤愱㜵㝢捡户㌶㠵ぢ愶慣㔹搲㑦昰挷㌹愵㔰㐵昶〴㠰㌵ㄱ〰㠵攲㈲㌹㠹㝤㤳〱㐲㍣愸ㄴ㈶㥦昴散挴昲㔶戳〷散晣攰慣㉢㐲敤㐷㥦㉦昸换㥥㔲戸㠲散㉢〱搶㔵〰扡㈸㤶搵散扢ㅡ㈰挴〶愵昰㥦㥦挷ㄷㅦ㕦ㄳㄹ戰㘱摥愲㠳户ㅣ扥昳㑣挱换㐲㑡愱㤶散㄰挰慡〳㜰っㄷ㐸㥢㝤㔳〰㐲慣㔵ち晤㔷扥㝢搵挶户㉢㐷㍥扦敡㥥㜶㑦敦慤㌹㕤昰㥡㤲㔲㤸㐶㜶㍤挰㥡づ攰ㄸ㡡㈴晦㌶㘴ㄸ㈰挴㑡愵戰晤戲搰敥ㄵ㑤晢㠶慤晡㝢㑥㔵搵戵㉦㜷ㄱ扣㈰愵ㄴㅡ挸㡥〲慣㤹〰㈸ㄴ昵㤱搷戰㉦〶㄰攲㔶愵㌰㍥昰捡㥢㍦昵慦㉡扢晢戴捥ㄷ慦㍦昶㙦愵㠲㔷戳㤴㐲㠲散㐶㠰搵〴愰㐲㕦㌹㡢㝤戳〱㐲㉣㔲ち㙢扥㙣晦㤷㘳㘵㕦づ搸戶㉦晡敤搸敦摦㙡㈷㜸㈹㑣㈹捣㈵晢㕡㠰㜵ㅤ㠰㉥㝡挹敢搹㜷〳㐰㠸昹㑡攱敡昳㌳昷㉥昹改挳㘱㑦㥦㜹㑣ㅥ㔸扣㌶㈲㜸ㅤ㑤㈹捣㈳㝢㍥挰扡〹挰㌱昴㤳ぢ搸㜷㌳㐰㠸㙢㤵挲挱てㄶ㜵晦换挹摦㡣㝣昰摢愳㤱晤㥢㥥㍤㈶㜸ㄱ㑥㈹㉣㈴㝢ㄱ挰㕡っ㠰㐲扦㘲戹㠴㝤㑢〱㐲㌴㉡㠵摣昱㜹扤敡搷㌵㤶㉦愸攸戴敥㡣ㅦ㔷㝣㈵㜸〵㑦㈹㉣㈳晢㔶㠰㜵ㅢ㠰㘳㈸㤱换搹㜷㍢㐰㠸愸㔲戸攳㔰户搰つ㘷㍤㍣昸挵㤵㕤扥摢昸挸㥡攳㠲㤷晦㤴挲ち戲㔷〲慣㔵〰㈸㤴ㄴ捡㍢搹户ㅡ㈰㐴扤㔲搸昶㔳愰搳搷㠷扥ㅦ扥㌱慢攴扣挶㡤〳㜶〸捥ㅤ㔲ち㜷㤱扤ㄶ㘰慤〳㐰愱㙦ㅦ㜹㌷晢搶〳㠴〸㈹㠵慤ㄳㅦㄹ晣㑣搶挰〱㡦㕦㝣㜹㐵捦捣てㄶ㠸搳㤰㑥㈹摣㑢昶〶㠰㜵ㅦ㠰挷愱㥦扣㥦㝤て〰㠴戸㔲㈹戴ㄹ摥敦㜷㙢㑦摦㌳㜲挳攳挷戶㝦昵晤户㌷ち捥㕡㔲ち㥢挸㝥㄰㘰㙤〶昰㌸ㄴ换㠷搸昷㌰㐰㠸〹㑡愱㘴㐷攸昳㜳㐷㡤ㅤ戸㝣㜱敤慣捦敥㉢ㄹ㈴㍡㈱㥤㔲搸㐲昶㔶㠰昵㈸〰ち挵㠵昲㌱昶㙤〳〸㌱㕡㈹㑣昸愲攲愲㔸挱愴昲挵㐷㤶て㍥㌰晤摤㌳〵攷㑢㈹㠵㈷挸摥づ戰㥥〴㔰愱㔸敥㘰摦㑥㠰㄰ㄵ㑡㘱昴㘹㡦㙦摥㜵敡㈵㐳㌷收昴㌸㜸晣愲㥤㘷攵〴㤱㙥搹㤵搷〲㌳㔸㍡㉤ㅡ户ㅢ㤲㔷攲敥㤱捡晡搰っ㍢㌶搶收慣搳慥ㅢ㥢愸㐹搸愷ㅡ㔳㠳敥愳ㅡ㑡愷昱㘲㕦㜷㡥搹㍢㘵昰散㠴摤㔰㘷搷㔵挶愲㌳敤㔸㘲捥戸㥡摡戰摤攱〴捡〰㑣㘳㥢㙣㈴㑥㍦愱扢㉣ㅡ㙡㡣㤷㐶ㅢㄲ戱㘸昸挴捣㠰扡愶ㅡ㑣㐷敡㐶㐴敢散㡣慣㉣㈱㌲㌲㑦㔶㤷攵挱㑤㤸㝣っ慤㘹愸ぢ摢㌱摦愹戲攰摣挲捡挳㈷㈳㠷ㄷ敦昴愷ㄹ㤹搸㑢㈶㘷㌵㤸㠳挶㜳㈲㘵搱㔸㍣㉢换慤攸搰㥡昸戴〴㝤晢㈷愹户㡢戰ㅢ㤰㜳㉥愰㈵戳ㄸ㝥㌳㐵㡤愸ㄵ㈱㔱㈷散㔶ㄱ捣㜲㐶㑣㡤攵㈴㈷㙦㌹㤱㐱㜶㍣㈴㌹㍢ㅢ㠶㤳㌰摢㐲ㄴ㙥挴㥣㡥㠷搵㥥㥤ㄸ㔴㤳愸㘹ㄵ愹慣挱散㉥搱づ㍢㠲搷㕤〹戴搱㥢挹㐹愰摥愰㕣㐰㙦㘸搵戶晦摢〱昱㤳昵㤶㔱攳ㅦ摡愹㔲㌲㔹㠷挲愹㠸慡㙤㤳㝤㕡㌲㑦㙤㐱㉦㤰っつ戱搶挹㡥㤴ㄲ扣攳晢㡦㉦㐰㐶ㄶ㘶㤶挹㝦㔲㘸昱攳㝦昸㌰㑥ㅣ愸戳㈰㤰㙢昹㥥㤸昳㥡捤ㄱ㤳㜳挹㔰敤昸㐴㝤㌸㕥㠰挱っ㠹㐵ㅢ㘷㔲攷晦扢摥㉦㌵㙥㡥㍤昵昹晢捦晥晦㝥昸㘲㥥㍣〷ㄴ敢ㄹ昲昰㌳愳昸昸搲敥㐱㐷㕥㉡㉢㤹㜵㈶㤳㝢㝡攴㜲捥挳㉥改㑣挶㌹㜱㙤ㄳㄹㄵ慡ㅤㄷ戳㤳㌷ㄸ戹挹㡤㌹㌳敤戶㤱〹搱搸㡣摡㘸㜴〶扦㘱敤㤲㕢昱㘹戶㥤攰㤴扤戵扡㐹㘱㉣㠴挸捡㍡㘱㙡㙥捣敤捦㠶扥昵ㄲ愰敤㠰㜰㌸愸ㄵ攳搶㙦搸㡦㉦〴捥扢戵ㄷ㜱敦ㄱ㌵愱㔸戴㈷敥㕣㐳搳㙡攲㠹晡㔰捦㘱つ㌳ㅢㄳ昱㥥愱㘸㘴㘶搸㑥搸㍤ㅢ散挴㉣っ愸㘷〴扦㔶攱㠲搹攱㜸㐴㕣愴㝥愰攷㘶㘵攷㍣晡搲㡤ㄵㅢ摡㌵㍣㔶㜹㕥㘶ㅦ㜱愱㑡㌸㘶晡㕤㔰㉡挸搲挹㕦㉣搱ㄵ㘱㍥㥡摣㐷搸て㄰㥣敤昳㌷㈳昵㘹挹㠹㍣ㅦ㔴攷改㜸ㄵ扤㌸㡦㍥㐹扦㥣攸㠶摤㜹㉥㈵㡦㥤攴搱㤲㍣㑣愲㠷㤷攵敥㉡攱戸㌵改㠱摤㠲㘸捡㜲㑦㠴㐹换〷ㄱ挸㐳〰挱摢㤳昴㉣ㄷ㜰㕦挷户昳㌰㝡㘱搹㈷改㤷ㄳ扤戰扢㥢攵捥㕥㤶捦㔰〹挷扤搴〵㔰ち愲㈹换扤ㄱ㈶㉤ㅦ㐵㈰㍦〱〸摥㑦愵㘷戹て昷㜵㔸晥ㄴ扤戰散㤳昴换㠹㘲散敥㘶戹㡤㤷攵搶㉡攱戸昹㉢㠱㔲㄰㑤㔹敥㠷㌰㘹昹ㄸ〲昹ㅤ㐰昰〶㌰㍤换晤戹慦挳昲て攸㠵㘵㥦愴㕦㑥昰ㄶ搴捤昲昱㥦㔲户搶㡥扦攵ㅦ㔵挲㜱户㝡〹㤴㠲㘸捡昲愵〸㤳㤶㉤㠱㘱户〲㠸〱攸㑡捦昲㘵搸挳㘹㌹て㘲戰散㤳昴换㠹㠱㄰㜵戳晣戹㤷攵捦㔴挲㜱㝢㍤〸㑡㐱㌴㘵㤹户搷昹㘸戲〳〶㈸㍢〲挴㄰㙣愶㘷戹㡣〲㡥戳摣〹㘲戰散㤳昴换㠹愱㄰㜵戳晣扥㤷攵㈳㉡攱㜸ㅥ㔰づ愵㈰㥡戲㕣㠱㌰ㅦ㑤㜶挱〰㘵㔷㠰ㄸ㠱捤昴㉣て愷㠰挳㜲㌷㠸挱戲㑦搲㉦㈷㐶㐲搴捤昲〱㉦换慦愹㠴攳〱㐶㈵㤴㠲㘸捡㌲ㅦ㘰攴愳挹㘲っ㔰昶〵㠸戱搸㑣捦昲ㄸち㌸㉣昷㠷ㄸ㉣晢㈴晤㜲㘲ㅣ㐴摤㉣㍦攷㘵昹㔹㤵㜰㍣㜱愹㠲㔲㄰㑤㔹㥥㠰㌰ㅦ㑤㤶㘱㠰㜲〸㐰㑣挲㘶㝡㤶㈷㔲挰㘱戹ㅣ㘲戰散㤳昴换㠹挹㄰㜵戳晣愸㤷攵慤㉡攱㜸㐴挴〷㐳㐱㌴㘵㤹㡦㠸昲搱㘴ㄵ〶㈸㈷〰㐴㌵㌶搳戳㝣ㄵ〵ㅣ㤶㈷㐳っ㤶㝤㤲㝥㌹㜱㌵㐴摤㉣慦昷戲㝣户㑡㌸㥥㘹搵㐲㈹㠸愶㉣㠷㄰收愳挹㈹ㄸ愰㥣ち㄰㝣慥㤵㥥攵㍡ち㌸㉣㑦㠷ㄸ㉣晢㈴晤㜲㘲ち㐴摤㉣㉦昳戲㝣㡢㑡㌸ㅥ挲㑤㠳㔲㄰㑤㔹收㐳戸㝣㌴搹㠴〱捡㔹〰㌱〳㥢改㔹㥥㑥〱㠷攵戹㄰㠳㘵㥦愴㕦㑥㠴㈱敡㘶昹㍡㉦换搷慡㠴攳愹㘱〳㤴㠲㘸捡㌲㥦ㅡ收愳挹㠵ㄸ愰㕣〴㄰㝣㜲㤸㥥攵㤹ㄴ㜰㔸㕥ち㌱㔸昶㐹晡攵㐴っ愲㙥㤶挳㕥㤶㘷愸㠴攳㌱㘷〲㑡㐱㌴㘵㤹㡦㌹昳搱攴㙡っ㔰慥〱㠸㔹搸㑣捦㜲ㄳ〵ㅣ㤶搷㐱っ㤶㝤㤲㝥㌹㌱ㅢ愲㙥㤶慦昰戲㝣戹㑡㌸㥥换捥㠵㔲㄰㑤㔹收㜳搹㝣㌴戹ㄹ〳㤴て〱〴㥦捤愶㘷㤹捦㜵㥤㤶户㐰っ㤶㝤㤲㝥㌹㜱〳㐴摤㉣て昷戲㕣愱ㄲ㡥〷挹昳愰ㄴ㐴㔳㤶攷㈳捣㐷㤳扢㌰㐰戹ㅢ㈰ㄶ㘰㌳㍤换㌷㔱挰㜱㤶昷㐰っ㤶㝤㤲㝥㌹㜱㌳㐴摤㉣㕦攴㘵昹㐲㤵㜰㍣昹㕥〸愵㈰㥡戲扣〸㘱㍥㥡摣㠷〱捡晤〰挱愷摦改㔹㕥㑣〱㠷攵㔷㈱〶换㍥㐹扦㥣㔸ち㔱㌷换㍤扣㉣㜷㔷〹挷愳晡㘵㔰ち愲㈹换㝣㔴㥦㡦㈶て㘲㠰昲㄰㐰昰㜱㝤㝡㤶㙦愳㠰挳昲㘱㠸挱戲㑦搲㉦㈷㙥㠷愸㥢攵捥㕥㤶捦㔰〹挷摡挲ち㈸〵搱㤴㘵慥㉤攴愳挹愳ㄸ愰晣〴㈰戸扥㤰㥥攵㔵ㄴ㜰㔸晥ㄴ㘲戰散㤳昴换㠹搵㄰㜵戳摣挶换㜲㙢㤵㜰㉣㠶摣〵愵㈰㥡戲扣ㄶ㘱㍥㥡㍣㠶〱捡敦〰㠲ぢ㈲改㔹㕥㐷〱㠷攵ㅦ㈰〶换㍥㐹扦㥣㔸て㔱㌷换挷晦摢敢㝥㔹㈵ㅣ慢㌷昷㐲㈹㠸愶㉣㙦㐰㤸㡦㈶慤㑣㐰㉢㠰戸ㅦ㥢改㔹扥㡦〲づ换㜹㄰㠳㘵㥦愴㕦㑥㍣〰㔱㌷换㥦㝢㔹晥㑣㈵ㅣ换㑤㥢愰ㄴ㐴㔳㤶戹摣㤴戴摣㠱㤶㍢搲昲㐳攸㑡捦昲㘶散攱戴摣㈹㘵搹㈷㈹㝤㜲攲㘱㠸扡㔹㝥摦换昲ㄱ㤵㜰慣㡦㙤㠱㔲㄰㑤㔹摥㡡㌰㘹戹ぢ㉤㜷愵㘵慥㤱愵㘷昹㔱散攱戴摣㉤㘵搹㈷㈹㝤㜲㘲ㅢ㐴摤㉣ㅦ昰戲晣㥡㑡㌸ㄶ昴㥥㠰㔲㄰㑤㔹收㠲㕥搲㜲㌱㉤昷愵㘵㉥敡愵㘷昹㐹散攱戴摣㍦㘵搹㈷㈹㝤㜲㘲㈷㐴摤㉣㍦攷㘵昹㔹㤵㘸扥〲㤹扤ぢ㑡扥㡢㉤慤㐰挸ㅢㅥ慤愹㉢慢〹攱㙤戰㔶敡㕤戰摣㔲㍣㑥挷㍡㔵㉣挰挵戴㔲㍣㑡挷㠲㘲㔳㝤㥤ㅤ换㘵挷㔸扣敢㤶捤㘵㌸㉢戹挰ㄵ挷㝡㔰㔶㐶㑥㑥敢㕣户㕡挳戴搶㜹㉥敦搲つ㜳攸㝦㍥扡㠴㡦攸昰挳㤰〵㤴㘵㍣㌹㐳㜸㜲㜶㘳㤳㝥㥡ㄱ㠶㤲㌰㡣㠴㍤〶愱㍤攲扣㍣愲㉣㈷愱㠲㠴㝤〶〱愱㉥㌱㥣㠴ㄱ㈴散㜷㈷㡣㈴㘱ㄴ〹慦ㅡ〴愳㐴㈵〹愳㐹㌸㘸㄰㄰敡ㄲ㘳㐸ㄸ㑢挲㈱㜷挲㌸ㄲ挶㤳㜰搸㈰ㄸ㈵慡㐸㤸㐰挲㔱㠳㠰㔰㤷㤸㐸挲㈴ㄲ㍥㜱㈷㑣㈶攱㜲ㄲ㍥㌵〸㐶㠹㉢㐸戸㤲㠴㘳〶〱愱㉥㜱ㄵ〹搵㈴㝣攷㑥戸㥡㠴ㅡㄲ㝥㌰〸㐶㠹㕡ㄲ㐲㈴㔸挲昵㙣搶㤱㘰㤳搰捡㥤㌰㠵㠴愹㈴攴ㄹ〴愳挴㌴ㄲ敡㐹攸㘰㄰っㄷ搳㐹㤸㐱㐲㐷㜷㐲㤸㠴〸〹㥤っ㠲㔱愲㠱㠴㈸〹㕤っ㠲㔱㘲㈶〹搷㤰搰搵㥤㄰㈳㈱㑥㐲㌷㠳㘰㤴㐸㤰搰㐸㐲戱㐱㌰㑡㌴㤱㌰㡢㠴扥敥㠴搹㈴捣㈱愱扦㐱㌰㑡捣㈵攱㕡ㄲ捡っ㠲㔱攲㍡ㄲ慥㈷㘱㠸㍢攱〶ㄲ㙥㈴愱摣㈰ㄸ㈵收㤱㌰㥦㠴㉡㠳㘰㤴戸㠹㠴〵㈴㑣㜰㈷摣㑣挲扦㤲㌰搹㈰ㄸ㈵ㄶ㤲戰㠸㠴㈹〶挱㈸戱㤸㠴㈵㈴㑣㜵㈷㉣㈵攱ㄶㄲ愶ㅢ〴愳挴㌲ㄲ㙥㈵愱挹㈰ㄸ㈵㙥㈳㘱㌹〹戳摣〹户㤳㜰〷〹㜳つ㠲㔱㘲〵〹㉢㐹㔸㘸㄰㡣ㄲ慢㐸戸㤳㠴㐵敥㠴搵㈴慣㈱㘱愹㐱㌰㑡摣㐵挲㕡ㄲ㔶ㅢ〴愳挴㍡ㄲ敥㈶㘱㡤㍢㘱㍤〹昷㤰戰捥㈰ㄸ㈵敥㈵㘱〳〹㥢つ㠲㔱攲㍥ㄲ敥㈷攱㈱㜷挲〳㈴㙣㈴㘱㡢㐱㌰㑡㙣㈲攱㐱ㄲ㜶ㄹ〴愳挴㘶ㄲㅥ㈲㘱户㍢攱㘱ㄲㅥ㈱㘱㡦㐱㌰㑡㙣㈱㘱㉢〹晢っ㠲㔱攲㔱ㄲㅥ㈳㘱扦㍢㘱ㅢ〹㡦㤳昰慡㐱㌰㑡㍣㐱挲㜶ㄲづㅡ〴愳挴㤳㈴散㈰攱㤰㍢㘱㈷〹㑦㤱㜰搸㈰ㄸ㈵㜶㤱戰㥢㠴愳〶挱㈸昱㌴〹捦㤰昰㠹㍢㘱て〹捦㤲昰愹㐱㌰㑡㍣㐷挲昳㈴ㅣ㌳〸㐶㠹ㄷ㐸㜸㤱㠴敦摣〹扦㈶攱㈵ㄲ㝥㌰〸㐶㠹摦㤰戰㤷〴ぢ攰㜲昵晦㉤〹扦㈳愱㤵㍢㘱ㅦ〹晢㐹挸㌳〸㐶㠹㤷㐹㜸㠵㠴づ〶挱㜰昱㉡〹慦㤱搰搱㥤㜰㠰㠴搷㐹攸㘴㄰㡣ㄲ扦㈷攱つㄲ扡ㄸ〴愳挴㥢㈴扣㐵㐲㔷㜷挲摢㈴扣㐳㐲㌷㠳㘰㤴昸〳〹敦㤲㔰㙣㄰㡣ㄲ〷㐹㌸㐴㐲㕦㜷挲ㅦ㐹㜸㡦㠴晥〶挱㈸㜱㤸㠴㈳㠰㐰ㄹ㠰㥦挰㄰ㅤっ搵挱㌰ㅤ㤴㈳戰挰戱摥㐷㄰㈸ㅤ㔸㝤挲㙢敥搶〷攸㙤㕤㥤㝡戱㘳ㅣ摥㈲戱晥㠴㡥戶搵愹ㄷ攱㔳㤳㑡敢捦攸㙡㠳㍤㤳㥢㜸㕤㍥㙥㝤㠸㥥㜶攸㌱㕥㕣戳㍥㐲㕦㝢昴㥤昸㌶㝣愰〲摤慣㥦㉢昰㍦㌱㄰㘷攴㈵㕦ㅡ㤷㐱㠴昲㘳㜴〴㠶戳ㄷ㥦挰〸ㅤ㡣搴挱㈸ㅤ㔴㈲愰㡡愴ぢ挹㐱㑢づ㔴㜲㘸㤲愳㤱㉣ㅦㄸつ㘸㔶慣㉢昷敡㐲昸㠲㡣㌱〰㝥〲㘳㜵㌰㑥〷攳㜵㔰㠵㠰㉡搶㤷〸㥣㠷散慦攸㍤攱㤰晤つㅤ捤づ搹㔷攸㍡昱㤰晤ㄷ㝡㥡ㅦ戲慦搱攷㜲挸㈶愰扢㤹ぢ扥〵㈲㝢㄰㡥㈱ㄹ㤸〸攰㈷㌰㐹〷㤳㜵㜰戹づ慥㐰㐰㤵晦攳㤰㕤愹㘸挶昹改捤扤㉥㈰晣㡣㘴攰㉡慤㔸慤㠳慢㜵㔰愳〳捥㈷㕢㔰㡣㌳捥㘶捥晡戱㑥〹㈱ㄷ昷ㄹ㠱㍡慤挸戹㈷㍦㠱㈹㍡㤸慡㠳㘹〸㕡㔰慣㕥搱っ㘷扣愱㤱㤷㄰摡戳搸㜴慤㌸㐳〷㘱ㅤ㐴㜴搰㠰㈰㔹㡣㕦〶挹㜳㉦㜹扥㈵捦戰攴㐹㤵㍣㡢㠱㈸愰㤹㌳慥昶换㐱㠴㑥㉣㌶ㄳっ㝥〲搷攸㈰愶㠳戸づㄲ〸㕡攰慣㔱搱っ㘷㕣㘷㤷攵㠴㜳㔹慣㐹㉢捥搲挱㙣ㅤ捣搱挱㕣〴㉤㜰㜶慤愲ㄹ挵㐶戳㑥㈵愱〷㡢㕤愷ㄵ慦搷挱つ㍡戸㔱〷昳㄰戴挰搹㝣㐵㌳㡡㑤㘰㥤㉡㐲ㄱ㡢㜱愶捡㑦㠰戳搵㘴㜰戳づ㌸㍤㑤昶㉣㐴搰㠲㘲㡢ㄴ捤㈸挶㔵㕤挹㤵㕥㜹〹㡢㉤搶㡡㑢㜴戰㔴〷户攸㘰ㄹ㠲ㄶㄴ扢㔵搱㡣㘲㈱搶愹㈵っ㘱戱摢戴攲㜲ㅤ摣慥㠳㍢㜴戰〲㐱ぢ㡡慤㔴㌴愳ㄸ㔷㌲攵㌴㐲㈵㡢慤搲㡡㜷敡㘰戵づ搶攸攰㉥〴㉤㈸戶㔶搱㡣㘲㕣㐳㤴㕣㔷㤴㤳㔸㙣㥤㔶扣㕢〷敢㜵㜰㡦づ敥㐵搰㠲㘲ㅢㄴ捤㈸挶搵㍢挹ㄵ㍤㔹换㘲昷㘹挵晢㜵挰挹㉣㍦〱㑥㘸㤳挱㈶〴㉤㈸挶昹㉤㘹㐶㌱慥㥢挹戹㠴ㄹ㉣戶㔹㉢㍥愴㠳㠷㜵昰㠸づ戶㈰㘸㐱戱慤㡡㘶ㄴ㥢捦㍡昳〸晣㉦㡥㠱㐷戵攲㘳㍡搸愶㠳挷㜵昰〴㠲㘴㌱晦㥦慢敤㡡㘶ㄴ㕢挴㍡ぢ〹搷戳搸㤳㕡㜱㠷づ㜶敡攰㈹ㅤ散㐲搰〲㘷扢ㄵ捤㈸挶㔵ㅡ戹㉣㔹㤱挵㥥搶㡡捦攸㘰㡦づ㥥搵挱㜳〸㕡攰散㜹㐵㌳㡡㜱㝤㐴慥㈰㉣㘷戱ㄷ戴攲㡢㍡昸戵づ㕥搲〱攷扢㉤㜰挶ㄹ㌱㘹㐶㌱慥㑣㐸慥㔶挸扢㔸散户㕡㤱㜳㘳㝥〲晢㜴戰㕦〷㉦㈳㘸㠱戳㔷ㄴ捤㈸挶㌵〱挹㜵〲㜹㍦㡢扤慡ㄵ㕦搳挱〱ㅤ扣慥㠳摦㈳㘸㠱戳㌷ㄴ捤㈸挶愷昱㜲ㄳ㘱ぢ㡢扤愹ㄵ摦搲挱摢㍡㜸㐷〷㝦㐰搰㠲㘲敦㉡㥡㔱㡣捦挱㈵㥦㡤换ㅤ㉣㜶㔰㉢ㅥ搲挱ㅦ㜵昰㥥づづ㈳㘸㐱戱㈳㡡㘶ㄴ摢捥㍡㝣㉡㉤㥦㐳㌱昱㌱ㄸ㙥㡦㝤㉦㍢敥戱㠴㜳愹㑡㌸㕥㕦晥挲㐳改㐲㉦愵晥㉡攱㜸㉢昸㤸㠷㔲戱㤷㔲㤱㑡㌸㕥戶晤搹㐳愹搰㑢愹㤷㑡㌸摥㘱攵㠴捤敤㌸昵昰㔲敡慥ㄲ㡥㔷㐳㌹ㅢ㜳㔳敡敡愵搴㐵㈵ㅣ㙦㕣㜲慡攵愶㜴㡥㤷㔲扥㑡㌸㕥㘴攴㍣捡㑤改㑣㉦愵捥㉡攱㜸㍦㤰㤳㈴㌷愵搳扣㤴㍡慡㠴攳戵㍢捥㠰摣㤴㑥昶㔲晡㤵㑡㌸摥㘶攳昴挶㑤愹㥤㤷㔲㕢㤵㜰扣㈴挶戹㡢㥢㤲昴㔲捡㔵〹挷扢㔷㥣㤸戸㈹㘵㝢㈹㘵愹㠴攳㤵㈶捥㍡摣㤴㝥晥搱攳㉦昸㈷㤵㜰扣㈹挴㈹㠵㥢搲て㕥㑡摦慢㠴攳〵ㅣ捥ㄷ摣㤴扥昵㔲晡㐶㈵ㅣ敦戵㜰㌲攰愶昴㌷㉦愵扦慡㠴攳㜵ㄱ㕥改摤㤴㍥昳㔲晡㔴㈵ㅣ㙦㘱㉣昴㔰㍡敡愵昴敦㉡攱㜸戹㠱搷㘸户㌱㝤攴愵昴愱㑡㌸摦ㄹ昰㔰㝡摦㑢改㠸㑡㌸㤶攲㜹㜵㜵ㅢ搳㈱㉦愵㠳㉡攱㔸攱收愵搳㑤改㙤㉦愵户㔴挲戱㜰捣敢愲㥢搲敢㕥㑡〷㔴挲戱ㅥ换㡢㥥㥢搲换㕥㑡晢㔵愲昹㌲㘷敢晦〱搴㤸㈹㐰</t>
  </si>
  <si>
    <t>㜸〱扤㕢〹㜸ㄴ㔵扡捤捤㔲攴㠶㘵攲㌲愰㠰摡㔱〷ㄴ㐲っ㙢〲㙥㐰㠰㐰搸〲㐴㄰㐴㘳㈷愹㤰㤰㑥ㅡ扢㍢㘱㜱挵〵㤰㐵㄰〵〴ㄹ㔹㐴㜴挰㝤〱㐵㠵㐱ㅤ㐰挴〵㘷〴〵挷㜱㘶㝣攸攰㌶敦扤ㄱ㘷搴愷敦㥣敥㝢攷㕤㔲换㤷晥㍥扦搷摦㜷て㝦摤晦搴昹敦愹敡㜴摤慡㕢愴㠸㤴㤴㤴㥦昰攱扦晣愴㌳攸㍣㘱㜶㌴㘶搷攷ㄵ㠵㐳㈱扢㌲㔶ㅢ㙥㠸收つ㡡㐴㠲戳㐷搵㐶㘳㘹㈰㔸攵戵挸㐷㌳捡愳戵㜳散捣昲㈶㍢ㄲ〵㈹㈳㈵㈵㌳㔳愶㈲㝦愶㙡搹㝡㐳㜲㉦㤹㑥〰㉢㐵㕡㠴㔶㠴㑣㠲㈴㘴ㄱ㕡ㄳ摡㄰摡ㄲ摡ㄱ㝥㐱挸㈶㥣㐲㌸㤵㜰ㅡ攱㜴挲㉦〹敤〹ㅤ〸㘷㄰㔸㕦㜶㈴㜴〲戴改っ㈸㉢ㅡ㍣戶㘲㍡摣㑣㠸㠵㈳㜶㙥㘰㘲㘲捣㤷昶散㤹搷㌳慦㜷㐱㝥㘱㕥㝥㙥愰愸㌱ㄴ㙢㡣搸㤷㌶搸㡤戱㐸㌰㤴ㅢ㈸㙤慣〸搵㔶㡥戴㘷㤷㠵敢散㠶㑢敤㡡晣摥ㄵ挱㍥㠵㍤晢昴敤㕢摤扦㝦㘱㥢戳愰㍣愶㘸㜰㘹挴慥㡥晥㕣㥡㘷㔳㜳㙣搱攰扣㌱㜶散攷搲㍣〷㥡㤰ㅣㄲ慥て搶㌶晣㑣愲ㄹ㍣愷㍤㠷搸㤵戵㍣昹戶ㅤ愹㙤㤸㤶㠷㘱㥦㜴愰戱㔵㤰〷捥挴㘰愴挸づ㠵挶摢搵㍣攱敤敡慦㠸摡㐵㡤搱㔸戸㝥㑣戰摥㙥㔳捦〳㘸㐷散㠶㑡㍢摡慥㝥攸慣㑡㍢愴搸搱捣㝡散㑡㔲㍡㠳㕦搴㈷㑥攲㠸㉡扢㈱㔶ㅢ㥢摤㤶㐲攳㠳つ搳㙣㔲㌲敡㡢ㅢ㙢慢㔲搲搳㐵㝡㝡㑡㥡昸㤵摢搸攲愷㑡㡤㈸ㅥ昳ㄴ戶挸挵㐹挳攲㔷敡扣㘶晡㍣㘷㘳㘷挴㐶摡㤱〶㍢愴㑡昰㘴㜶㙦挶㡢ㅦ愳挴愹昸昷挱搲㠶㜸愲㐴㙢昵昷㐷㌷㉣㤴㈲〳㠴ㅣ㠰㜵㉥㈰㝤㘸慦㕥扤攵㜹散㍢ㅦ㈰搲㡦攲㉦搸摣㠹㝦㐵愹攵挱搴昲㡡搴昲捡搴昲慡搴㜲㍢戵扣㍡戵㝣㕡㙡㜹㑤㙡㜹㙤㙡昹昴搴昲㍡㜰昴㈷戳㔵慢㔴昵㜹㘲㕦晢晤慦㜵扡戸㘸搹㥢㈵戳㉢慦扤㘰戲攰ㅦ㉤捦㜴㡡散㐲攸ち戰㉥〰㜰㄰昹昲㐲昶㜵〳〸昱ㅥ〶挱㠱㝣昴㡦ㅦ愷㑤戹昲㠲㌱㍢て㝤㜱挷改ㅦ㕤晣扥攰㕦㝣㐲㈱㤷散ㅥ〰㉢て〰㠵晣㥥昲㈲昶攵〳㠴㜸㕢㈹捣ㅢ扦攸挲㙢扦慤㉢㜹㍥扦㕢攱扣㥢㜶㍤㈱昸㜳㤱㔰攸㐵㜶㙦㠰搵〷㤰㍥戴㘷㘱㝦搹㤷㝤晤〰㐲扣慥ㄴ㈶昷㑤㜹昹攳㈵ㅦ㡣㝡晡搹㐹㠳愷っ㘸㍡㈲昸㕢㤳㔰㈸㈴扢㍦挰ㅡ〰愰㐲㠱扣㤸㝤㤷〰㠴㜸㔵㈹㍣昲摣㥤㙤㘳户㑥ㄸ㍤㜷晡搷晤ㄷ㡣捥扤㐶昰㝢㥢㔰戸㡣散换〱搶㐰〰ㄴちち攵㈰昶つ〶〸昱戲㔲昸敢捤㠳㔷扥㌵攳愱攲㈷晥㌲昵扢㍢㌶㑥㕦㈴昸㉢㤷㔰ㄸ㐲昶㔰㠰㌵っ㠰攳搰戳㡦㉣㘶摦㜰㠰㄰摢㤵挲㠱㠳摦慦㉦晢愹㘰挸㠲㤲㌷づ昷㍦敢晢㝡挱㥦挸㠴㐲〹搹㈳〱搶㈸〰㕤昴㤳愳搹㌷〶㈰挴㔳㑡攱戳㡤晢愶づ㡡扤㌲㜰挱㔷慦㡣㥥㍤㈰慤㔶昰㥢㤱㔰㈸㈵㝢ㅣ挰ㅡて攰戹攸㈳㈷戰慦っ㈰挴㔶愵㤰㍥晡愲捦〶攴晤㙥攰捥㡤㕤昲捦慢ㄵ敤〴㝦㥣ㄳちㄳ挹㥥〴戰慥〴㘰っ晤ぢ攴㘴昶㑤〱〸昱㤰㔲㤸㌶㙣㔳晥晡扦㜵ㅡ扡散㥣慢㉦㉤㉡晡扥㑣昰㤷㍤愱㌰㤵散慢〱搶㌵〰扡攸㈵换搹㜷㉤㐰㠸㜵㑡攱挴㡢㠵摦㡣㍢扥慥㘸挵搷㠵㝦戹㔹慣敡㈱㜸㔹㐸㈸㔴㤰㕤〹戰慡〰ㅣ㐳㙦㘹戳慦ㅡ㈰挴㙡愵㜰晢㠶㡥㤷㕥摥晤挲愱捦㝣㤵㤳戹㈲昳敤㌲挱㙢㑡㐲愱㠶散㕡㠰㌵ㅤ㐰㠵㕥㤲㝦ㅢ㌲〴㄰攲ㅥ敤愲晦搸戳㌷㥥㥥㌷攲挱愷㡡攷㉦㝦㙦㑤㔰昰㠲㤴㔰㘸㈰㍢っ戰㘶〰㜸㈴㝢挹敢搸ㄷ〱〸戱㐴㈹㑣㕤㤸㜶昹扥晥㐷㠶捦㍢㤰㜵挶扡㥣㑥㉦ち㕥捤ㄲち㌱戲ㅢ〱㔶ㄳ㠰挷㈱㕦捥㘴摦㉣㠰㄰昳㤵挲㠴㘳昳ㄷ㤵㜷㍦㌱㝣搷戱愶〵㤹㥢扦搹㉤㑥㐵㍡愱㌰㠷散敢〱搶つ〰扡攸㈳㙦㘴摦㑤〰㈱收㉡㠵㡡戳㍥ㅢ昰愷愵〳㐷捥㝤户攰晤㍤ㄳ㉦扡㔱昰㍡㥡㔰戸㠵散戹〰敢㔶〰挷㔰㈸㙦㘳摦敤〰㈱慥㔷ち㌹㍦㜴戱ㅦ摦㌲㜴捣㠳㐷戶摥晤㝡㐹搷㈶挱㡢㜰㐲㘱ㅥ搹昳〱搶〲〰扦搵㠵昲㑥昶㉤〴〸搱愸ㄴ敥扣慢晤㡥㝦愶㔴㡦扡㝦㘳收晣づ搹〳㍡ぢ㕥挱ㄳち㡢挹㕥〲戰敥〲㘰っ〵晤攵㔲昶㉤〳〸ㄱ㔶ち扤晢㜴㈸㡥㥣㔱㍢㜲㤷扤㘳晢㍢㌷㕣㔱㉤㜸昹㑦㈸㉣㈷晢ㅥ㠰㜵㉦㠰攷㈲㕦慥㘰摦㑡㠰㄰戵㑡愱昴捣愵㝦慣换ㄹ㌸㘴挱㝢摤㙡㥡晥ㅡ㕡㈱㌸㜷㐸㈸摣㐷昶㙡㠰戵〶挰攳搰㔷摥捦扥戵〰㈱㉡㤵挲摦㍥扦攱㤳搸扦㉥ㅡ㌱㜷户摤㙤捣摡ぢ愷㡢㌳㤰㑥㈸㍣㐰昶㍡㠰戵ㅥ挰㜳㤱㉦㌷戰㙦㈳㐰㠸慢戵㡢㔵ㄳ愶摦㜴㑤晡戰㥤捦㠷愷ㅣ㑢摤戶㐷㜰搶㤲㔰搸㐴昶㐳〰㙢㌳㠰㘳攸㈳ㅦ㘶摦㈳〰㈱㈶㈹㠵㌹㔵㕤㔷㌷㕤㌷㘸挴晣㐹戹㈹ぢ戳㈶ㅤㄴㅤ㤱㑥㈸㙣㈱㝢㉢挰㝡ㄴ挰㌱ㄴ捡挷搸昷㌸㐰㠸㜱㑡㘱昹㙢昷慣晢昲攰捣㐱㉦散晤戰㘹攷㠹攰㝥挱昹㔲㐲攱㐹戲㥦〲㔸㑦〳㜸㌶ぢ攴㌳散㝢ㄶ㈰挴㐸愵㔰ㄷ晤㜱昰慦㤶㘴㤶㉣搹㔵㜳戴㝤攷ㄹ㘳㌲〲㐸户散捡㙢㠱ㄹ㈸慡〹㐷敤㠶昸㤵戸㝢㝤㘹㙤㘵㥤ㅤ㤹㘰㜳搶㘹㔷㑤㠸〵㘳昶㉦㡤愹㐱昷戱つ㐵㌵扣搸㔷㥤㙢昶㔶て㥤ㄵ戳ㅢ慡散慡搲㐸㜸㠶ㅤ㠹捤㉥ぢ㔶㠴散昶㈷㔱〶㘱ㅡ摢㘴㈳㜱收㐹摤挳挲㤵㡤搱愲㜰㐳㉣ㄲづ㥤㥣ㄹ㔴搵ㄴ挴㜴愴㙡㜴戸捡㑥㐹㑢ㄳ㈲㈵昵㌴㜵㔹ㅥ摡㠴挹挷昰㘰㐳㔵挸㡥昸㑥㤵〵攷ㄶ㔶ㄶ㍥㈹ㄹ扣㜸㈷㍦捤㐸挵㕥㌲㍥慢挱ㅣ㌴㥡㔱㍦㉣ㅣ㠹愶愵戹ㄵㅤㅥ㡣搶挴攸摢㍦㐹扤㙤㠴敤㠰㡣昳〰㉤㤹挵昰㥢㈹㠲愲㐲㔴㡡㉡㘱户慡挷㉣㘷昴戴㐸㐶㝣昲㤶㔱㍦挴㡥㔶㑡捥捥㐶攰㈴捣戲㄰㠵ㅡ㌱愷攳㘱戵㘷挵㠶〴㘳挱㔶昵愵㐱捣敥㘲敤戰㈳㜸摤㤵㐰ㅢ扤ㄹ㥦〴敡つ捡㘵敢つ慤摡昶晦㍡㈰㝥㥡摥㌲㙡晣㕢㍢㔱㑡挶敢㔰㌸ㄱ㔱戵㙤扣㑦㑢㘶愹㉤攸㘵挷㐳㐳慣㜵扣㈳愱〴敦昸晥攳ぢ㤰㤲㠶㤹㘵晣㥦〴㕡晣昸ㅦ㍥㡣ㄳ〷敡㙣〸㘴㕡扥㈷收晣㘶㜳挴昸㕣戲戲攲㡡㔸㙤㈸㥡㠷挱ㄴ㐷挲㡤㌳愸昳晦㕤敦攷ㅡ㌷挷㥥昸晣昳㈷晦㝦㍦摥㤵㈵捦〵挵㝡㠱㍣晣捣㈸㍥扥戴㍢搰㤱㤵挸㑡㘶㥤挹昸㥥ㅥ戹㡣昳戱㑢㌲㤳㜱㑥㕣摢搴㡦慤慣㈸㡢搸昱ㅢ㡣捣昸挶散ㄹ㜶摢晡㐹攱㐸㕤㐵㌸㕣挷㙦㔸扢昸㔶戴挶戶㘳㥣戲户㔶㌷㈹㡣㠵㄰㘹㘹㈷㑤捤㡤戹晤㌹搰户㜶〳摡づち㠵〲㕡㌱㙡扤挲㝥㝣㈱㜰摥慤㔷ㄱ昷ㅥㅤ慣㡣㠴㝢攰捥戵戲㈶ㄸ㡤搵㔶昶ㄸ搱㌰愳㌱ㄶ敤㔱ㄹ慥㥦ㄱ戲㘳㜶㡦〶㍢㌶ㄳ〳敡㔱㡦㕦慢㔰摥慣㔰戴㕥㕣愲㝥愰攷愴愵㘷㍣扡晢收㤱敢摡㌵㍣㔶㝡㝥㙡ㅦ㜱戱㑡㌸㘶晡㕤㔰㉡挰搲昱㕦㉣搱ㄵ㘱づ㥡摣㐳搸ぢ㄰㥣敤昳㌷㈳昱㘹挹㠹扣〰㔴攷改搸㡦㕥㥣㐷㥦愴㕦㑥㜴挳敥㍣㤷㤲挷㑥昲㘸㐹ㅥ㈶㤱敢㘵戹扢㑡㌸㙥㑤㜲戱㕢〰㑤㔹敥㠱㌰㙥昹㄰〲㜹ㄸ㈰㜸㝢㤲㥣攵㍣敥敢昸㜶ㅥ㐱㉦㉣晢㈴晤㜲㈲ㅦ扢扢㔹敥散㘵戹㤳㑡㌸敥愵㝡㐱㈹㠰愶㉣昷㐶ㄸ户㝣っ㠱晣ㄴ㈰㜸㍦㤵㥣攵㍥摣搷㘱昹㌸㝡㘱搹㈷改㤷ㄳ晤戰扢㥢攵㌶㕥㤶㕢慢㠴攳收慦㄰㑡〱㌴㘵戹㍦挲戸攵ㄳ〸攴户〰挱ㅢ挰攴㉣て攰扥づ换摦愱ㄷ㤶㝤㤲㝥㌹挱㕢㔰㌷换㍦晣㤸戸戵㜶晣㉤㝦慦ㄲ㡥扢搵换愰ㄴ㐰㔳㤶㉦㐷ㄸ户㙣〹っ扢ㄵ㐰っ㐲㔷㜲㤶〷㘲て愷攵㉣㠸挱戲㑦搲㉦㈷〶㐳搴捤昲ㄷ㕥㤶㍦㔷〹挷敤昵㄰㈸〵搰㤴㘵摥㕥攷愰挹昶ㄸ愰散〰㄰挵搸㑣捥昲㌰ち㌸捥㜲㐷㠸挱戲㑦搲㉦㈷㠶㐳搴捤昲㠷㕥㤶㡦慡㠴攳㜹㐰〹㤴〲㘸捡昲㐸㠴㌹㘸戲ぢ〶㈸扢〲挴㘸㙣㈶㘷㜹ㄴ〵ㅣ㤶扢㐱っ㤶㝤㤲㝥㌹㌱〶愲㙥㤶て㜸㔹㝥㐳㈵ㅣて㌰㑡愱ㄴ㐰㔳㤶昹〰㈳〷㑤昶挳〰㘵〱㐰㑣挰㘶㜲㤶挷㔳挰㘱㜹〰挴㘰搹㈷改㤷ㄳ㘵㄰㜵戳晣㤲㤷攵ㄷ㔵挲昱挴㘵㈲㤴〲㘸捡昲㈴㠴㌹㘸㜲ㄸ〶㈸㡢〱㘲㌲㌶㤳戳㝣㈵〵ㅣ㤶㑢㈰〶换㍥㐹扦㥣㤸〲㔱㌷换㡦㝡㔹摥慡ㄲ㡥㐷㐴㝣㌰ㄴ㐰㔳㤶昹㠸㈸〷㑤㑥挴〰攵㈴㠰㈸挷㘶㜲㤶慦愱㠰挳昲ㄴ㠸挱戲㑦搲㉦㈷慥㠵愸㥢攵戵㕥㤶敦㔷〹挷㌳慤ち㈸〵搰㤴攵㑡㠴㌹㘸戲ㅡ〳㤴搳〰㠲捦戵㤲戳㕣㐵〱㠷攵改㄰㠳㘵㥦愴㕦㑥㔴㐳搴捤昲㘲㉦换㡢㔴挲昱㄰慥〶㑡〱㌴㘵㤹て攱㜲搰㘴ㄳ〶㈸㘷〲㐴ㅤ㌶㤳戳㍣㥤〲づ换㜳㈰〶换㍥㐹扦㥣〸㐱搴捤昲つ㕥㤶慦㔷㠹㘹捤㥦ㅡ㌶㐰㈹㠰愶㉣昳愹㘱づ㥡㥣㠷〱捡昹〰挱㈷㠷挹㔹㥥㐱〱㠷攵㠵㄰㠳㘵㥦愴㕦㑥㐴㈰敡㘶㌹攴㘵戹㑥㈵ㅣ㡦㌹㘳㔰ち愰㈹换㝣捣㤹㠳㈶㔷㘲㠰㜲ㄵ㐰捣挴㘶㜲㤶㥢㈸攰戰扣〶㘲戰散㤳昴换㠹㔹㄰㜵戳㍣搵换昲㔵㉡攱㜸㉥㍢〷㑡〱㌴㘵㤹捦㘵㜳搰攴㘶っ㔰㍥っ㄰㝣㌶㥢㥣㘵㍥搷㜵㕡摥〲㌱㔸昶㐹晡攵挴㑤㄰㜵戳㍣捡换昲㐸㤵㜰㍣㐸扥〵㑡〱㌴㘵㜹㉥挲ㅣ㌴戹つ〳㤴摢〱攲㌶㙣㈶㘷昹㔶ち㌸捥昲づ㠸挱戲㑦搲㉦㈷㙥㠷愸㥢攵㑢扣㉣㕦慣ㄲ㡥㈷摦昳愰ㄴ㐰㔳㤶攷㈳捣㐱㤳㝢㌰㐰戹ㄷ㈰昸昴㍢㌹换ぢ㈸攰戰扣ㅦ㘲戰散㤳昴换㠹㠵㄰㜵戳㥣敢㘵戹扢㑡㌸ㅥ搵㉦㠶㔲〰㑤㔹收愳晡ㅣ㌴㜹〸〳㤴㠷〱㠲㡦敢㤳戳㝣ㄷ〵ㅣ㤶㡦㐰っ㤶㝤㤲㝥㌹戱っ愲㙥㤶㍢㝢㔹敥愴ㄲ㡥戵㠵攵㔰ち愰㈹换㕣㕢挸㐱㤳挷㌰㐰昹㈹㐰㜰㝤㈱㌹换昷㔲挰㘱昹㌸挴㘰搹㈷改㤷ㄳ㉢㈱敡㘶戹㡤㤷攵搶㉡攱㔸っ戹て㑡〱㌴㘵㜹㌵挲ㅣ㌴㜹〲〳㤴摦〲〴ㄷ㐴㤲戳扣㠶〲づ换摦㐱っ㤶㝤㤲㝥㌹戱ㄶ愲㙥㤶㝦昸ㅦ慦晢㘵㤵㜰慣摥㍣〰愵〰㥡戲扣づ㘱づ㥡戴㔲〱慤〰㘲〳㌶㤳戳扣㥥〲づ换㔹㄰㠳㘵㥦愴㕦㑥㙣㠴愸㥢攵㉦扣㉣㝦慥ㄲ扤㥢㉦㌷㙤㠲㔲〰㑤㔹收㜲㔳摣㜲㝢㕡敥㐰换て愳㉢㌹换㥢戱㠷搳㜲挷㠴㘵㥦愴昴挹㠹㐷㈰敡㘶昹㐳㉦换㐷㜵愲昹晡搸ㄶ㈸〵搰㤴攵慤〸攳㤶扢搰㜲㔷㕡收ㅡ㔹㜲㤶ㅦ挵ㅥ㑥换摤ㄲ㤶㝤㤲搲㈷㈷ㅥ㠷愸㥢攵〳摡㔹昳㠷扡㙦愸㠴㘳㐱敦㐹㈸〵搰㤴㘵㉥攸挵㉤昷愳攵〲㕡收愲㕥㜲㤶㥦挶ㅥ㑥换〳ㄲ㤶㝤㤲搲㈷㈷㥥㠵愸㥢攵㤷扣㉣扦愸ㄲ捤㔷㈰搳户㐱挹㜷戱愵ㄵ〸㔹愳挲挱慡㘱挱㑡扣つ搶㑡扤ぢ㤶㔹㠴挷改㔸愷㡡㘴㜳㌱慤〸㡦搲戱愰搸㔴㕢㘵㐷㌲搹㌱〱敦扡愵㜳ㄹ捥㡡㉦㜰㐵戱ㅥ㤴㤶㤲㤱搱㍡搳慤搶〸慤㜵扥换扢㜴㈳ㅣ晡㕦㡣㉢攴㈳㍡晣㌰愴〱攵㌰㥥㥣㘲㥥㥣敤搸愴㥦㘶㠴攱㈴㡣㈰㘱㠷㐱㌸〵㜱㔶ㄶ㔱㤶㤰㌰㤲㠴㍤〶〱愱㉥㌱㡡㠴搱㈴散㜵㈷㡣㈱㘱㉣〹晢つ㠲㔱愲㤴㠴㜱㈴ㅣ㌲〸〸㜵㠹昱㈴㑣㈰攱戰㍢愱㡣㠴㉢㐸㌸㘲㄰㡣ㄲㄳ㐹㤸㐴挲㌱㠳㠰㔰㤷戸㤲㠴挹㈴㝣敡㑥㤸㐲挲㔵㈴ㅣ㌷〸㐶㠹愹㈴㕣㑤挲〹㠳㠰㔰㤷戸㠶㠴㜲ㄲ扥㜵㈷㕣㑢㐲㤰㠴敦っ㠲㔱愲㠲㠴㑡ㄲ㉣攱㝡㌶慢㐸戰㐹㘸攵㑥愸㈶㘱ㅡ〹㔹〶挱㈸㔱㐳㐲㉤〹敤つ㠲攱㘲㍡〹㜵㈴㜴㜰㈷㠴㐸愸㈷愱愳㐱㌰㑡㌴㤰㄰㈶愱㡢㐱㌰㑡捣㈰攱㍡ㄲ扡扡ㄳ㈲㈴㐴㐹攸㘶㄰㡣ㄲ㌱ㄲㅡ㐹攸㘷㄰㡣ㄲ㑤㈴捣㈴愱挰㥤㌰㡢㠴搹㈴っ㌰〸㐶㠹㌹㈴㕣㑦挲㌰㠳㘰㤴戸㠱㠴ㅢ㐹㈸㜶㈷摣㐴挲捤㈴㤴ㄸ〴愳挴㉤㈴捣㈵㘱愲㐱㌰㑡摣㑡挲㙤㈴㑣㜲㈷摣㑥挲ㅤ㈴㑣㌱〸㐶㠹㜹㈴捣㈷愱摡㈰ㄸ㈵ㄶ㤰㜰㈷〹搳摣〹ぢ㐹㔸㐴挲㜴㠳㘰㤴㔸㑣挲ㄲㄲ㥡っ㠲㔱攲㉥ㄲ㤶㤲㌰搳㥤戰㡣㠴扢㐹㤸㘳㄰㡣ㄲ换㐹戸㠷㠴㜹〶挱㈸㜱㉦〹㉢㐸㤸敦㑥㔸㐹挲㉡ㄲㄶㅡ〴愳挴㝤㈴慣㈶㘱愵㐱㌰㑡慣㈱攱㝥ㄲ㔶戹ㄳ搶㤲昰㙢ㄲ搶ㄸ〴愳挴〳㈴慣㈳㘱戳㐱㌰㑡慣㈷㘱〳〹て扢ㄳ㌶㤲昰㈰〹㕢っ㠲㔱㘲ㄳ〹て㤱戰捤㈰ㄸ㈵㌶㤳昰㌰〹摢摤〹㡦㤰昰ㅢㄲ㜶ㄸ〴愳挴ㄶㄲ戶㤲戰挷㈰ㄸ㈵ㅥ㈵攱㌱ㄲ昶扡ㄳㅥ㈷攱〹ㄲ昶ㅢ〴愳挴㤳㈴㍣㐵挲㈱㠳㘰㤴㜸㥡㠴㘷㐸㌸散㑥㜸㤶㠴攷㐸㌸㘲㄰㡣ㄲ摢㐸搸㑥挲㌱㠳㘰㤴㜸㥥㠴ㄷ㐸昸搴㥤戰㠳㠴ㄷ㐹㌸㙥㄰㡣ㄲ㉦㤱昰㌲〹㈷っ㠲㔱㘲㈷〹扢㐸昸搶㥤昰㕢ㄲ㜶㤳昰㥤㐱㌰㑡扣㐲挲慢㈴㔸〰㤷慢晦㙢㈴晣㡥㠴㔶敥㠴㍤㈴散㈵㈱换㈰ㄸ㈵昶㤱昰㍡〹敤つ㠲攱㘲㍦〹㙦㤰搰挱㥤㜰㠰㠴㌷㐹攸㘸㄰㡣ㄲ㙦㤱昰㌶〹㕤っ㠲㔱攲ㅤㄲづ㤲搰搵㥤昰㉥〹扦㈷愱㥢㐱㌰㑡晣㠱㠴昷㐸攸㘷㄰㡣ㄲ㠷㐸㌸㑣㐲㠱㍢攱㝤ㄲ㍥㈰㘱㠰㐱㌰㑡ㅣ㈱攱㈸㈰㝢ㄸ㠰㥦散㘲ㅤっ搷挱〸ㅤ㤴㈰戰挰戱㍥㐴㤰㕤㌴戸晣愴搷摣慤㍦愲户㜵㜹攲挵㡥㌲扣㐵㘲㝤㠴㡥戶攵㠹ㄷ攱ㄳ㤳㑡敢㑦攸㙡㠳㍤攳㥢㜸㕤㍥㙡㝤㡣㥥㜶攸㌱㕥㕣戳晥㡣扥㔳搰㜷昲摢昰搹㈳搱捤晡㤹〲晦ㄳ〳㜱㑡㔶晣愵㜱ㄹ㐰㈸㍦㐱㐷昶㈸昶攲㤳㍤㕡〷㘳㜴㌰㔶〷愵〸愸㈲改㐲㜲搰㤲〳㤵ㅣ㥡攴㘸㈴换㘷㡦〳㌴㉢搶㤵㝢㜵㈱㝣㐹挶㜸〰㍦搹ㄳ㜴㔰愶㠳㉢㜴㌰ㄱ〱㔵慣慦㄰㌸て搹搷攸㍤改㤰晤ㅤㅤ捤づ搹㝦愲敢攴㐳昶㕦攸㘹㝥挸晥ㅢ㝤㉥㠷㙣ㄲ扡㥢戹攰㕢㈰㌲㤷㜰〲挹散㉢〱晣㘴㑦搶挱ㄴㅤ㕣愵㠳愹〸愸㈲改㐲㜲搰㤲〳㤵ㅣ㥡攴㘸㈴换㘷㕦つ㘸㔶慣㌷昷敡㐵昸㠹㡣㙢〰晣㘴㤷敢攰㕡ㅤ〴㜵挰昹㘴ぢ㡡㜱挶搹慣㔸㝦㈸换㐲㐲㈶敥㌳戲慢戴㈲攷㥥晣㘴㔷敢㘰㥡づ㙡㄰戴愰㔸慤愲ㄹ摦㍣摥搰挸换〸愷戰搸㜴慤㔸愷㠳㤰づ敡㜵搰㠰㈰㕥捣晦㥢ㄷ㔶㌴愳ㄸ㔷晢攵㄰㐲㐷ㄶ㥢愱ㄵ慦搳㐱㐴〷㔱ㅤ挴㄰戴挰㔹愳愲ㄹ挵戸捥㉥㑢〸攷戱㔸㤳㔶㥣愹㠳㔹㍡㤸慤㠳㌹〸㕡攰散㝡㐵㌳㡡㡤㘳㥤㔲㐲㉥㡢摤愰ㄵ㙦搴挱㑤㍡戸㔹〷户㈰㘸㠱戳戹㡡㘶ㄴ㥢挴㍡ㄳ〹㝤㔹㡣㌳㔵㝥戲㌹㕢㡤〷户敢㠰搳搳㜸捦㍣〴㉤㈸㌶㕦搱㡣㘲㕣搵㤵㕣改㤵㤷戱搸〲慤㜸愷づㄶ敡㘰㤱づㄶ㈳㘸㐱戱㈵㡡㘶ㄴ慢㘴㥤ち㐲㌱㡢摤愵ㄵ㤷敡㘰㤹づ敥搶挱㜲〴㉤㈸㜶㡦愲ㄹ挵戸㤲㈹㙢〸愵㉣㜶慦㔶㕣愱㠳㤵㍡㔸愵㠳晢㄰戴愰搸㙡㐵㌳㡡㜱つ㔱㜲㕤㔱㑥㘶戱㌵㕡昱㝥ㅤ慣搵挱慦㜵昰〰㠲ㄶㄴ㕢愷㘸㐶㌱慥摥㐹慥攸挹ちㄶ㕢慦ㄵ㌷攸㠰㤳㔹㝥戲㌹愱㡤〷㥢㄰戴愰ㄸ攷户愴ㄹ挵戸㙥㈶攷㄰敡㔸㙣戳㔶㝣㔸〷㡦攸攰㌷㍡搸㠲愰〵挵戶㉡㥡㔱㙣㉥敢摣㐲攰㝦㜱捣㝥㔴㉢㍥愶㠳挷㜵昰㠴づ㥥㐴㄰㉦收晦㜳昵㤴愲ㄹ挵收戳捥㍣挲㡤㉣昶戴㔶㝣㐶〷捦敡攰㌹ㅤ㙣㐳搰〲㘷摢ㄵ捤㈸挶㔵ㅡ戹㌸㕥㤱挵㥥搷㡡㉦攸㘰㠷づ㕥搴挱㑢〸㕡㔰散㘵㐵㌳㡡㜱㝤㐴㉥㈷㉣㘵戱㥤㕡㜱㤷づ㝥慢㠳摤㍡攰㝣户〵挵㌸㈳㈶捤㈸挶㤵〹挹搵ち㜹ㅦ㡢扤愶ㄵ㌹㌷收㈷㝢㡦づ昶敡㘰ㅦ㠲ㄶㄴ㝢㕤搱㡣㘲㕣ㄳ㤰㕣㈷㤰ㅢ㔸㙣扦㔶㝣㐳〷〷㜴昰愶づ摥㐲搰㠲㘲㙦㉢㥡㔱㡣㑦攳攵㈶挲ㄶㄶ㝢㐷㉢ㅥ搴挱扢㍡昸扤づ晥㠰愰〵挵摥㔳㌴愳ㄸ㥦㠳㑢㍥ㅢ㤷捦戰搸㈱慤㜸㔸〷敦敢攰〳ㅤㅣ㐱㄰㉦收晦搵㍦慡㘸㐶戱愷㔸㠷㑦愵攵㑢㈸㈶㍥〱挳敤戱敦挰ㅦ㍣㤶㜰㉥㔷〹挷敢换㕦㝡㈸㕤散愵㌴㐰㈵ㅣ㙦〵㥦昰㔰敡攷愵搴㔷㈵ㅣ㉦摢晥攴愱搴搳㑢㈹㕦㈵ㅣ敦戰㜲挲收㜶㥣㜲扤㤴扡慢㠴攳搵㔰捥挶摣㤴扡㝡㈹㜵㔱〹挷ㅢ㤷㥣㙡戹㈹㥤敢愵㤴愳ㄲ㡥ㄷㄹ㌹㡦㜲㔳㍡换㑢愹戳㑡㌸摥て攴㈴挹㑤改っ㉦愵づ㉡攱㜸敤㡥㌳㈰㌷愵搳扣㤴㑥㔵〹挷摢㙣㥣摥戸㈹戵昳㔲㙡慢ㄲ㡥㤷挴㌸㜷㜱㔳㤲㕥㑡㤹㉡攱㜸昷㡡ㄳㄳ㌷愵㜴㉦愵㌴㤵㜰扣搲挴㔹㠷㥢搲㑦摦㝢晣〵晦愸ㄲ㡥㌷㠵㌸愵㜰㔳晡捥㑢改㕦㉡攱㜸〱㠷昳〵㌷愵㙦扣㤴晥愱ㄲ㡥昷㕡㌸ㄹ㜰㔳晡扢㤷搲搷㉡攱㜸㕤㠴㔷㝡㌷愵捦扤㤴㡥慢㠴攳㉤㡣㜹ㅥ㑡挷扣㤴晥㐳㈵ㅣ㉦㌷昰ㅡ敤㌶愶㍦㝢㈹㝤慣ㄲ捥㜷〶㍣㤴㍥昴㔲㍡慡ㄲ㡥愵㜸㕥㕤摤挶㜴搸㑢改㤰㑡㌸㔶戸㜹改㜴㔳㝡搷㑢改愰㑥㌴㕦㌸收㜵搱㑤改㑤扤㐳昳昵搸〳㉡攱㔸㡦攵㐵捦㑤㘹㥦㤷搲㕥㤵㘸扥捣搹晡㝦〱㙣攷㄰㉢</t>
  </si>
  <si>
    <t>㜸〱扤㕢〹㜴㔴㐵扡㑥㘵㘹㔲㘱㤹㌰㍡愰挸㘸㐷㜹㌰戲㘴㠰㐰㔸摣㠰〰〹〴〸㥢愰㈸挶愴㜳〳㈱㥤㜴散敥㠴㑤ㄴㄴ〲〲㙥㠰㈰㠸㠰戲㈹攰〲㈸㈸攲慥愰㠸攳づっ㌰㙦攴扣ㄹㅣ㜱㤹昷㥥㈳㍥㤱㈷昳㝤摤㔵昳㡡摣攵愴捦昱扣㍥愷㍥晥㕢晦㜷扦扦扥扥㥤扥搵㔵㤷㈴㤱㤴㤴㜴づ㉦晥换㔷㉡㠳戶㘳愶㐷愲㔶㔵㜶㕥㈸ㄸ戴〲搱㡡㔰㜵㈴扢㝦㌸㕣㌲㝤㔸㐵㈴㥡〲㠲慦戸〲昹㐸㕡㜱愴㘲㠶㤵㕥㕣㘷㠵㈳㈰愵㈵㈵愵愷换㘴攴㉦㔶㉤㔳ㅦ㐸㥥㈵㔳〹㘰㈵㐹ㅦ愱〹㈱㥤㈰〹ㄹ㠴愶㠴㘶㠴收㠴ㄶ㠴㕦ㄱ㌲〹㉤〹扦㈶㕣㐰戸㤰昰ㅢ㐲㉢㐲㙢挲㐵〴搶㤷㙤〸㤷〰㥡戵〵㡣捤ㅢ㔰㔴㍡〵㙥挶㐴㐳㘱慢戳㝦㕣㝣捣搷㜴敢㤶摤㉤㍢愷㔷搷摥搹㕤㍢晢昳㙡㠳搱摡戰㜵㑤戵㔵ㅢつ㤷〴㍢晢㐷搶㤶〶㉢〲㠵搶昴戱愱㑡慢晡ㅡ慢戴㙢㑥㘹㐹㡦摥摤㝡昴散㔹摥愷㑦敦㘶扦㠵昲㠸扣〱㈳挳㔶㜹攴㤷搲扣㤴㥡㐵㜹〳戲㐷㔸搱㕦㑡昳㌲㘸㐲㜲㘰愸慡愴愲晡ㄷㄲ㑤攳㌵敤㌶搰ち㔴昰攲㕢㔶戸愲㝡㔲㌶㠶㝤摥ㅢ㡤愳㕥搹攰㡣㉢〹攷㔹挱攰㘸慢㥣ㄷ扣㐵搵昵ㄱ㉢慦㌶ㄲつ㔵㡤㈸愹戲㥡㔵昱つ戴挲㔶㜵挰㡡戴愸ㅡ㌴㉤㘰〵ㄵ㍢㤲㕥㠵㔳㐹㑡㘵昰慢慡昸㐵ㅣ㔲㘶㔵㐷㉢愲搳㥢㔳㘸㜴㐹昵㈴㡢㤴戴慡晣摡㡡戲愴搴㔴㤱㥡㥡㤴㈲晥捤㘹㙣戱㑢愵㐶ㄴ㡢㜹〹ㅢ攵攲扣㘱昱㈳㜵㐵〳㝤㕥戳愲㥡㘸愱ㄵ慥戶㠲慡〴㉦㘶愷〶扣搸㝢ㄴ扦ㄴ晦㝡戳戴㈱㕥㈸搱㔴晤晤搱つぢ㈵㐹㍦㈱ぢ攰扢ㅣ㤰㍡愸㝢户㙥昲ち昶戵〳㠸搴㘳昸ぢ㌶㑦攲㕦㔱㜲㜱㐹㜲㜱㘹㜲㜱㈰戹戸㉣戹搸㑡㉥㉥㑦㉥㥥㤴㕣㍣㌹戹戸㈲戹㜸㑡㜲㜱㈵㌸晡㤵摥愴㐹戲㝡敤㌹㥡扤扦搳㠱㘳㐵㑢㑡搳㕡㜶戹攸㘸㠱攰ㅦ㉤慦㜴㤲㙣㑦攸〰昰晤づ㠰㐱昴散㉡慦㘴㕦㐷㠰㄰㥦㘱㄰ㅣ挸㜷㜲挴㌵㌷㡤晦㜲挰搶㠳慢摡㤶㍤㌴扢愵攰㕦㝣㕣愱㌳搹㕤〰扥㙣〰ㄴ㜲㜲攵敦搹搷ㄵ㈰挴〷㑡攱摢㙦摥愸㌸戱昴敡㠲晡捡ㄷ㝢㙦㉡㕦㔹㈳昸㜵ㄱ㔷攸㑥㜶づ挰搷〳挰㌷㈲㐷昶㘴㕦㉥㐰㠸㜷㤵挲搹㌵搷慥晤晢搹戹㜹捦ㄴ㉤晡㝥摥愲搷㝥ㄶ晣慥㠹㉢昴㈶扢て挰搷ㄷ〰㠵慥扤攴㔵散扢ㅡ㈰挴㥢㑡㈱晢㠳慥搳ㄶ㍣㤱㕡昴㐲攱愹搱㙢昷㉣㍦㉣昸戹㡤㉢㕣㑢昶㜵〰㕦㍦〰挷搰㕤昶㘷摦〰㠰㄰㉦㉢㠵㐰㘰昲㡦捤㜶㑥ㅦ扥㝥昱㜷㜷摤㔵扦攷㈶挱㙦戹戸挲㐰戲〷〱㝣㠳〱㔰攸㥥㉢昳搹㔷〰㄰㘲户㜶㔱㕥㝦昴敢戱㑢昲ㄷ摣昱晢戲㌳慦㉣晦㔲昰㉢㌲慥㌰㤴散㐲㠰㙦ㄸ㠰㉥㜲攴㜰昶㡤〰〸戱㕤㈹㌴㝢扢㘷捥㍤愱㜷㠶捥㉤戸㜳搶㥡㥢㌷晥㈴昸挹㠸㉢㡣㈴㝢ㄴ挰㌷ㅡ㐰㠵㍥㜲っ晢挶〲㠴搸慡ㄴ㑥㕣㌳㜴挶てㅢ㉦㉢㥡昳搳攵捦敦㜸㝦昰㔴挱㉦攷戸挲㌸戲挷〳㝣㌷〰攸愲愷扣㤱㝤ㄳ〰㐲㙣㔴ち挷昷㔵ㅣ慥㝢晣㘸扦昵愳晢㍥㕢㈵昲挳㠲摦散㜱㠵㥢挹㥥〸昰摤〲愰㐲て㔹捣扥㕢〱㐲慣㔵ち㐷扥㔹昹㘱晦晤㠱㘱㡢ㅦㄸ戴晦慤㔱㕦户ㄲ扣㉤挴ㄵ㑡挹づ〰㝣㘵〰㈸昴攸㈵㉤昶㤵〳㠴㔸愹ㄴ搶㕦㕡摦つ㕦㈵㐳㤶摦㌰攰戲戱㥦扥㜴㐰昰㥥ㄲ㔷㤸㑣㜶〵挰㌷〵挰㌱昴㤲晣摢㤰㐱㠰㄰㑢㤵挲捥㌱㔳昲摢慤㝣㘱挰㠳晤摥㐸昹慡戴晦づ挱ㅢ㔲㕣愱㥡散㄰挰㔷〳㠰㐲户㥥昲㌶昶㠵〱㐲摣慢ㄴ晥慢捦搲㐷㔷挸㐷昲㜷ㄴ昴晡戶攷㤱㤲搷〴敦㘶㜱㠵㈸搹戵〰㕦ㅤ㠰ち㝤攴㔴昶㑤〳〸㌱㕦㈹㝣晡攳搴㙢㔲晦㈴ぢ搷昵㍤搲愴敡㤳ㄷ㑥ち摥ち攳ち㌳挸㥥〹昰摤づ愰㐲㔷㌹㡢㝤㜷〰㠴㤸愳ㄴ㐶㑤㡣扣戲愸扡㜶搰昲㥣晦㌸昲收㜷摤㙡〴敦愳㜱㠵搹㘴捦〱昸敥〲㐰㈱愷扢扣㥢㝤㜳〱㐲捣㔴ち㙦㕢攳扦㙦扤昶摢㠲㥤㔷㙥扣敥昳㉥㡦捥ㄴ扣〹挷ㄵ敡挹㥥て昰㉤〰㐰愱㙢㙦㜹て晢ㄶ〲㠴愸㔵ち挳㍦㙢昷搱挴㉥㠳㠷㙦捦挸昸戴敢㐵ぢ搷ぢ摥挱攳ち㡢挹扥ㄷ攰扢て㐰ㄷ戹昲㝥昶㍤〰㄰㈲愴ㄴ㘶攵㉥㥢㜷攲㘸昵㠸攷㜳㉦扣㜴搹戶搷戲〵㙦晦㜱㠵㈵㘴㉦〵昸㤶〱㌸㠶㕣昹㄰晢㤶〳㠴愸㔰ち敦㑤慦㤸㌷㈷昹摣攰搵㌵晢戶晥攳㘴搹昳㠲㜳㠷戸挲挳㘴慦〴昸㔶〱昸㍥昴㤶㡦戰㙦㌵㐰㠸㠰㔲搸㜵搵㤵晤昶昶晡㝣挰戲㜷㕦㕣搸昹愱つ㉤挴㐵㐸挷ㄵ搶㤰扤ㄶ攰㕢〷攰ㄸ㝡捡挷搸昷㌸㐰㠸㠹㑡攱戹攰扣㙤敢㠷攵ㄴ㙤扤㘷昶搹昵戹户扦㉤㌸㙢㠹㉢㙣㈰㝢㈳挰户〹挰㌱昴㤴㥢搹昷〴㐰㠸昱㑡攱㤲攳扤㕢㥤㜸㌷㘳攸散敤㤵㑦敥晤敦摣㈹愲つ搲㜱㠵㉤㘴㙦〵昸戶〱愰搰扤扢㝣㡡㝤㑦〳㠴ㄸ愵ㄴ慣昲㐲㤱㔶戰愲㘰摢㕢㐷㜷㝣㜶㘱搱㜷㠲昳愵戸挲戳㘴㙦〷昸㜶〰愸搰㑤敥㘴摦㜳〰㈱ち㤵挲㠴慤㥤愲㤳㉥㙥㌳㘲换摦戶㡥㕥昷攷㜵㕢搳晣㐸㌷敥捥敢〳搳㥦㌷㌹ㄴ戱慡㘳㜷攲㑥㔵㈳㉢〲㤵㔶㜸㡣挵㔹愷㔵㌶㈶㕡ㄲ戵㝥㘳㑣つ㍡ㄵ㔵攷㑤收捤扥散㜲戳户㝣搰戴愸㔵㕤㘶㤵㡤っ㠷㙡慣㜰㜴晡搸㤲搲愰搵敡㍣㑡㝦㑣㘳敢㉣㈴㉥㍥慦㝢㜰㈸㔰ㅢ挹ぢ㔵㐷挳愱攰昹㤹晥㘵㜵㈵㤸㡥㤴つて㤵㔹㐹㈹㈹㐲㈴㈵㕦愰㙥换㠳敡㌰昹㈸㈸愹㉥ぢ㕡㘱捦愹戲攰摣挲㤷㠱㔷㔲ㅡ㙦摥㠹㑦㌳㤲㜱㤶㡣捤㙡㌰〷㡤愴㔵つづ㠵㈳㈹㈹㑥㐵ぢ㑡㈲㤳愳昴敤㥤愴摥㉥挲㙥㐰摡ㄵ㠰挶捣㘲昸挹ㄴ㈵愲㔴〴㐴㤹戰㥡㔴㘱㤶㌳㝣㔲㌸㉤㌶㜹㑢慢ㅡ㘸㐵〲㤲戳戳㈱戸〸搳㝣㠸㠲戵㤸搳昱㙤戵愶㐵〷㤶㐴㑢㥡㔴㡤㉣挱散㉥摡〲㈷㠲搷㐹〹㌴搳㠷戱㐹愰㍥愰㕣愶㍥搰慡捤晦慦〳攲ㄷ攸㈳愳挶扦戴攳愵㘴慣づ㠵攳ㄱ㔵㥢挷晡戴㘴㠶㍡㠲㕥㘶㉣㌴挴㥡挶㍡攲㑡昰㡥捦㍦㍥〰㐹㈹㤸㔹挶晥㠹愳㡦㉦敦户て攳挴ㅢ㜵㈹〴搲㝤㥥ㄷ愶㕤㠳㌹㘲㙣㉥ㄹ㈸扤㍥㕡ㄱ㡣㘴㘳㌰昹攱㔰㙤つ㜵晥扦敢晤㔲攳收搸攳慦晦㌹攷晤敦攷慦㘶挸换㐱昱扤㐸ㅥ扥㘶ㄴㅦㅦ摡㍤攸挸㠸㘷㈵戳昶㘴散㑣㤷㕣㕡㍢㥣㤲挸㘴㥣ㄳ搷㘶㔵㐵㠱搲戱㘱㉢昶〳㈳㍤㜶㌰扤挶㙡㕥㌵㍥ㄴ慥㉣つ㠵㉡昹〹㙢ㄱ㍢㡡㑣戶慣㈸愷散㑤搵㡦ㄴ挶㐲㠸㤴㤴昳愶收挶摣晥㌲攸晢㕥〷㌴敦ㅦっ晡戵㘲挴昷〶晢昱㠱挰㜵昷扤㠹㌸㘷㜸㐹㈰ㅣ敡㠲㕦慥㠱挹㈵㤱㘸㐵愰换㤰敡㥡摡㘸愴㑢㈰㔴㔵ㄳ戴愲㔶㤷㙡㉢㍡ㄵ〳敡㔲㠵㙦慢㘰昶戴㘰愴㑡㕣慤扥愰㘷愴愴愶㙤㝢晤捥挲戵㉤慡㥦ㅡ搹㉥戹㠷戸㑡㈵㙣㌳晤昶㈸攵㘷改搸㌷㤶攸㠰㌰ぢ㑤敥㈳散〷〸捥昶昹㥤ㄱ㝦㌵收㐲晥づ㔴晢攵㌸㠰㕥㕣㐷㡦愴㔷㑥㜴挴改扣㤶㤲敦㥤攴扢㈵昹㌶㠹捥㙥㤶㍢愹㠴敤愷㐹㘷㥣收㐷㔳㤶扢㈰㡣㔹㍥㠴㐰ㅥ〶〸晥㍣㐹捣㜲㌶捦戵㝤㍡㡦愲ㄷ㤶㍤㤲㕥㌹搱ㄵ愷㍢㔹㙥敢㘶昹ㄲ㤵戰晤㤶敡づ㈵㍦㥡戲㥣㠳㌰㘶昹㈴〲昹〵㐰昰昷㔴㘲㤶㝢昰㕣㥢攵㔳攸㠵㘵㡦愴㔷㑥攴攲㜴㈷换捤摣㉣㌷㔵〹摢㡦扦摥㔰昲愳㈹换㝤㄰挶㉣㥦㐶㈰㝦〰〸晥〰㑣捣㜲㕦㥥㙢戳㝣〶扤戰散㤱昴捡〹晥〴㜵戲㝣昶攷昸㑦㙢摢摦昲㑦㉡㘱晢戵㝡㉤㤴晣㘸捡昲㜵〸㘳㤶㝤〲挳㙥〲㄰晤搱㤵㤸攵㝥㌸挳㙥㌹〳㘲戰散㤱昴捡㠹〱㄰㜵戲晣戵㥢攵慦㔴挲昶昳㝡㈰㤴晣㘸捡㌲㝦㕥㘷愱挹㔶ㄸ愰㙣つ㄰昹㌸㑣捣昲㘰ち搸慥㜲ㅢ㠸挱戲㐷搲㉢㈷ち㈰敡㘴昹戸㥢攵㘳㉡㜱戶攱㝡挰㔰㈸昹搱㤴攵㐲㠴㔹㘸戲㍤〶㈸㍢〰挴㜰ㅣ㈶㘶㜹ㄸ〵㙣㤶㍢㐲っ㤶㍤㤲㕥㌹㌱〲愲㑥㤶て扡㔹㝥㑦㈵㙣ぢㄸ㈳愱攴㐷㔳㤶戹㠰㤱㠵㈶㜳㌱㐰搹ぢ㈰挶攰㌰㌱换愳㈹㘰戳摣ㄷ㘲戰散㤱昴捡㠹戱㄰㜵戲扣搷捤昲㑢㉡㘱㕢㜱ㄹ〷㈵㍦㥡戲㍣ㅥ㘱ㄶ㥡ㅣ㡣〱捡㝣㠰戸ㄱ㠷㠹㔹扥㠱〲㌶换㐳㈱〶换ㅥ㐹慦㥣㤸〰㔱㈷换摢摣㉣㙦㔵〹摢ㄲㄱㄷ㠶晣㘸捡㌲㤷㠸戲搰攴㌸っ㔰㡥〷㠸㘲ㅣ㈶㘶昹ㄶち搸㉣㑦㠰ㄸ㉣㝢㈴扤㜲攲㔶㠸㍡㔹㕥敤㘶昹ㄱ㤵戰慤㘹㤵㐲挹㡦愶㉣〷㄰㘶愱挹㜲っ㔰㑥〲〸慥㙢㈵㘶戹㡣〲㌶换㔳㈰〶换ㅥ㐹慦㥣㈸㠷愸㤳攵挵㙥㤶ㄷ愹㠴㙤ㄱ㙥㌲㤴晣㘸捡㌲ㄷ攱戲搰㘴ㅤ〶㈸愷〲㐴㈵づㄳ戳㍣㠵〲㌶换㌳㈰〶换ㅥ㐹慦㥣〸㐲搴挹昲敤㙥㤶㘷慡㠴㙤搵戰ㅡ㑡㝥㌴㘵㤹慢㠶㔹㘸戲ㅥ〳㤴昳〱㠲㉢㠷㠹㔹慥愱㠰捤昲㐲㠸挱戲㐷搲㉢㈷挲㄰㜵戲ㅣ㜴戳㕣愹ㄲ戶㘵捥㈸㤴晣㘸捡㌲㤷㌹戳搰攴㜲っ㔰慥〰㠸愹㌸㑣捣㜲ㅤ〵㙣㤶㔷㐱っ㤶㍤㤲㕥㌹㌱つ愲㑥㤶㙦㜶戳㝣㤳㑡搸搶㘵㘷㐰挹㡦愶㉣㜳㕤㌶ぢ㑤㙥挲〰攵㘶㠰攰摡㙣㘲㤶戹慥㙢户扣〵㘲戰散㤱昴捡㠹㍢㈰敡㘴㜹㤸㥢攵㐲㤵戰㉤㈴捦㠶㤲ㅦ㑤㔹㥥㠳㌰ぢ㑤敥挲〰攵㙥㠰戸ㅢ㠷㠹㔹扥㡢〲戶慢扣〷㘲戰散㤱昴捡㠹戹㄰㜵戲㝣戵㥢攵慢㔴挲戶昲㕤て㈵㍦㥡戲㍣ㅦ㘱ㄶ㥡摣㠷〱捡晤〰挱搵敦挴㉣㉦愰㠰捤昲〱㠸挱戲㐷搲㉢㈷ㄶ㐲搴挹㜲㘷㌷换㥤㔴挲戶㔴扦ㄸ㑡㝥㌴㘵㤹㑢昵㔹㘸昲㄰〶㈸て〳〴㤷敢ㄳ戳㝣ㅦ〵㙣㤶㡦㐲っ㤶㍤㤲㕥㌹昱〰㐴㥤㉣户㜵戳㝣㠹㑡搸昶ㄶ㤶㐰挹㡦愶㉣㜳㙦㈱ぢ㑤㥥挴〰攵ㄷ〰挱晤㠵挴㉣㉦愳㠰捤昲㈹㠸挱戲㐷搲㉢㈷㤶㐳搴挹㜲㌳㌷换㑤㔵挲戶ㄹ昲㌰㤴晣㘸捡昲㑡㠴㔹㘸昲㌴〶㈸㝦〰〸㙥㠸㈴㘶㜹ㄵ〵㙣㤶捦㐰っ㤶㍤㤲㕥㌹戱ㅡ愲㑥㤶捦晥慦摢敦㘵㤵戰敤摥慣㠱㤲ㅦ㑤㔹㕥㡢㌰ぢ㑤晡㤲〱㑤〰攲㌱ㅣ㈶㘶㜹ㅤ〵㙣㤶㌳㈰〶换ㅥ㐹慦㥣㜸ㅣ愲㑥㤶扦㜶戳晣㤵㑡搸戶㥢㌶㐰挹㡦愶㉣㜳扢㈹㘶戹ㄵ㉤户愶攵捤攸㑡捣昲㈶㥣㘱户摣㈶㙥搹㈳㈹㍤㜲攲〹㠸㍡㔹㍥敥㘶昹㤸㑡搸昶挷戶㐰挹㡦愶㉣㙦㐵ㄸ戳摣㥥㤶㍢搰㌲昷挸ㄲ戳扣つ㘷搸㉤㜷㡣㕢昶㐸㑡㡦㥣㜸ㅡ愲㑥㤶て扡㔹㝥㑦㈵㙣ㅢ㝡捦㐲挹㡦愶㉣㜳㐳㉦㘶㌹㤷㤶㝢搱㌲㌷昵ㄲ戳扣〳㘷搸㉤昷㡤㕢昶㐸㑡㡦㥣㜸づ愲㑥㤶昷扡㔹㝥㐹㈵ㅡ敥㐰愶敥㠲㤲攷㘶㑢ㄳ㄰㌲㠶㠵㑡捡〶㤷〴昰㌴㔸ㄳ昵㉣㔸㝡ㅥ㤶搳戱㑦ㄵ捥攴㘶㕡ㅥ㤶搲戱愱㔸㔷㔱㘶㠵搳搹㌱〶捦扡愵㜲ㅢ捥ㄷ摢攰㡡㘰㍦㈸㈵㈹㉤慤㘹扡㔳慤㈱㕡慢㥤挳戳㜴㐳㙣晡㕦㡦敡捤㈵㍡㝣㌱愴〰攵㘰㕥㥣㝣㕥㥣摤㌸愴㥦〶㠴〲ㄲ㠶㤰戰挷㈰戴㐴㥣㤱㐱㤴㐳㐹㈸㈴㘱㥦㐱㐰愸㑢っ㈳㘱㌸〹晢㥤〹㈳㐸㈸㈲攱㠰㐱㌰㑡㡣㈴㘱ㄴ〹㠷っ〲㐲㕤㘲㌴〹㘳㐸㌸散㑣ㄸ㑢挲昵㈴ㅣ㌵〸㐶㠹㜱㈴㡣㈷攱愴㐱㐰愸㑢摣㐰挲㡤㈴㝣攱㑣㤸㐰挲㑤㈴㥣㌲〸㐶㠹㥢㐹㤸㐸挲㘹㠳㠰㔰㤷戸㠵㠴㘲ㄲ㝥㜰㈶摣㑡㐲〹〹㘷っ㠲㔱愲㤴㠴〰〹㍥攱㜸㌵换㐸戰㐸㘸攲㑣㈸㈷㘱ㄲ〹ㄹ〶挱㈸㌱㤹㠴ちㄲ㕡ㄹ〴挳挵ㄴㄲ㉡㐹㘸敤㑣〸㤲㔰㐵㐲ㅢ㠳㘰㤴愸㈶㈱㐴㐲㝢㠳㘰㤴愸㈱攱㌶ㄲ㍡㌸ㄳ挲㈴㐴㐸攸㘸㄰㡣ㄲ㔱ㄲ㙡㐹挸㌵〸㐶㠹㍡ㄲ愶㤲搰换㤹㌰㡤㠴改㈴昴㌵〸㐶㠹ㄹ㈴捣㈴㘱戰㐱㌰㑡摣㑥挲㉣ㄲ昲㥤〹㜷㤰㜰㈷〹㐳つ㠲㔱㘲㌶〹㜳㐸ㄸ㘷㄰㡣ㄲ㜷㤱㜰㌷〹攳㥤〹㜳㐹㤸㐷挲〴㠳㘰㤴愸㈷㘱㍥〹攵〶挱㈸戱㠰㠴㝢㐸㤸攴㑣㔸㐸挲㈲ㄲ愶ㄸ〴愳挴㘲ㄲ敥㈵愱捥㈰ㄸ㈵敥㈳攱㝥ㄲ愶㍡ㄳㅥ㈰攱㐱ㄲ㘶ㄸ〴愳挴ㄲㄲ㤶㤲㔰㙦㄰㡣ㄲ换㐸㜸㠸㠴昹捥㠴攵㈴慣㈰㘱愱㐱㌰㑡㍣㑣挲㑡ㄲ㤶ㅢ〴愳挴㉡ㄲㅥ㈱㘱㠵㌳㘱㌵〹㡦㤲戰捡㈰ㄸ㈵搶㤰戰㤶㠴㑤〶挱㈸戱㡥㠴挷㐸搸散㑣㜸㥣㠴昵㈴㙣㌱〸㐶㠹つ㈴㙣㈴㘱㤷㐱㌰㑡㙣㈲㘱㌳〹扢㥤〹㑦㤰昰㈴〹㝢っ㠲㔱㘲ぢ〹㕢㐹搸㘷㄰㡣ㄲ摢㐸㜸㡡㠴晤捥㠴愷㐹㜸㠶㠴〳〶挱㈸昱㉣〹摢㐹㌸㘴㄰㡣ㄲ㍢㐸搸㐹挲㘱㘷挲㜳㈴㍣㑦挲㔱㠳㘰㤴搸㐵挲㙥ㄲ㑥ㅡ〴愳挴ぢ㈴扣㐸挲ㄷ捥㠴㍤㈴扣㐴挲㈹㠳㘰㤴搸㑢挲换㈴㥣㌶〸㐶㠹㔷㐸㜸㤵㠴ㅦ㥣〹慦㤱昰㍡〹㘷っ㠲㔱攲つㄲ摥㈴挱〷㜰戸晢扦㐵挲摢㈴㌴㜱㈶散㈳㘱㍦〹ㄹ〶挱㈸昱づ〹敦㤲搰捡㈰ㄸ㉥づ㤰昰ㅥ〹慤㥤〹〷㐹㜸㥦㠴㌶〶挱㈸昱〷ㄲ㍥㈰愱扤㐱㌰㑡㝣㐸挲㐷㈴㜴㜰㈶㝣㑣挲㈷㈴㜴㌴〸㐶㠹㑦㐹昸㡣㠴㕣㠳㘰㤴㌸㐴挲㘱ㄲ㝡㌹ㄳ㡥㤰昰㐷ㄲ晡ㅡ〴愳挴㔱ㄲ㡥〱㌲〷〳昸捡捣搷㐱㠱づ㠶攸㘰㈸〲ㅦ㌸扥攳〸㌲昳〶ㄴ㥦昷㤸扢敦㑦攸㙤㕡ㅣ㝦戰㘳㉣㥥㈲昱晤㍢㍡㥡ㄷ挷ㅦ㠴㡦㑦㉡㝤㝦㐶㔷㌳㥣ㄹ㍢挴攳昲ㄱ摦攷攸㘹㠱ㅥ攳挱㌵摦〹昴戵㐴摦昹㑦挳㘷ㄶ愲㥢昵搳〵晥㈷〶攲愴㡣搸㐳攳搲㡦㔰晥〵ㅤ㤹挳搸㡢㔷收㜰ㅤ㡣搰㐱㤱づ㐶㈲㠸戹昸㉢〲扢㡢㤳攸㍤捦挵ㄷ攸㘸攰攲㙦攸㍡摦挵㤷攸㘹攸攲ㄴ晡ㅣ㕣㡣㐲㜷〳ㄷㅤ㌰攴昸昳攷摦㈰㤹㌹ㅡ挰㔷收ㄸㅤ㡣搵挱昵㍡ㄸ㠷㠰㉡㤲㉥㈴〷㉤㌹㔰挹愱㐹㡥㐶戲㝣收㜸㐰㠳㘲㝣ち㐴㜶㈶㥣㈶攳〶〰㕦㤹㌷敡㘰㠲づ㙥搲挱捤〸㘲挵㜸攱㈵慦戳攴戵㤵扣㥡㤲ㄷ㔰昲㡡㘵㑥〴㌴㈸㤶〳㘵搹㥤㜰㡥㡣㕢〰㝣㘵ㄶ敢攰㔶ㅤ㤴攸㠰昳挹㐶ㄴ攳㡣戳㐱戱㍥㔰㤶扤〹改昸㥤㤱㔹愶ㄵ㉤ㅤ㤴敢㘰㤲づ㈶㈳㘸㐴戱ち㐵㌳㍥㜹晣㐱㈳慦㈵戴㘴戱㈹㕡戱㔲〷㐱ㅤ㔴改愰ㅡ㐱㈳㡡㠵ㄴ捤㈸挶摤㝥㌹㤰搰㠶挵㙡戴攲㙤㍡〸敢㈰愲㠳㈸㠲㐶ㄴ慢㔵㌴愳ㄸ昷搹攵㔰挲ㄵ㉣㔶愷ㄵ愷敡㘰㥡づ愶敢㘰〶㠲㐶ㄴ㥢愹㘸㐶戱㔱慣㌳㤲搰㤹挵㙥搷㡡戳㜴㜰㠷づ敥搴挱㙣〴㡤㈸㌶㐷搱㡣㘲攳㔹㘷ㅣ愱㈷㡢㜱愶捡㔷㈶㘷慢戱㘰慥づ收改愰ㅥ㐱㈳㡡捤㔷㌴愳ㄸ㜷㜵㈵㜷㝡攵戵㉣戶㐰㉢摥愳㠳㠵㍡㔸愴㠳挵〸㘲挵扣晦愸敦㔵㌴愳㔸㠰㜵㑡〹昹㉣㜶㥦㔶扣㕦〷て攸攰㐱ㅤ㉣㐱搰〸㘷㑢ㄵ捤㈸挶㥤㑣㌹㤹㌰㤲挵㤶㘹挵㠷㜴戰㕣〷㉢㜴昰㌰㠲㐶ㄴ㕢愹㘸㐶㌱敥㈱㑡敥㉢捡ㅢ㔹㙣㤵㔶㝣㐴〷慢㜵昰愸づ搶㈰㘸㐴戱戵㡡㘶ㄴ攳敥㥤攴㡥㥥㉣㘵戱㜵㕡昱㌱ㅤ㜰㌲换㔷㈶㈷戴戱㘰〳㠲㐶ㄴ摢愸㘸㐶㌱敥㥢挹ㄹ㠴㑡ㄶ摢愴ㄵ㌷敢攰〹ㅤ㍣愹㠳㉤〸㘲挵扣㍦㈰㕢ㄵ捤㈸㌶㠷㜵㘶ㄳ昸㕦ㅣ㌳户㘹挵愷㜴昰戴づ㥥搱挱戳〸ㅡ攱㙣扢愲ㄹ挵收戳㑥㍤㘱ㄶ㡢敤搰㡡㍢㜵昰㥣づ㥥搷挱㉥〴㡤㈸戶㕢搱㡣㘲摣愵㤱㡢㘳ㄵ㔹散〵慤昸愲づ昶攸攰㈵ㅤ散㐵搰㠸㘲㉦㉢㥡㔱㡣晢㈳㜲〹攱㝥ㄶ㝢㐵㉢扥慡㠳搷㜴昰扡づ㌸摦㡤ㄵ昳扥㘶㥣ㄱ㤳㘶ㄴ攳捥㠴攴㙥㠵㝣㤸挵摥搲㡡㙦敢㘰㥦づ昶敢攰ㅤ〴㡤㜰昶慥愲ㄹ挵戸㈷㈰戹㑦㈰ㅦ㘳戱〳㕡昱㍤ㅤㅣ搴挱晢㍡昸〳㠲㐶㌸晢㐰搱㡣㘲㕣㡤㤷ㅢ〸㕢㔸散㐳慤昸㤱づ㍥搶挱㈷㍡昸ㄴ㐱㈳㥣㝤愶㘸㐶㌱慥㠳㑢慥㡤换㥤㉣㜶㐸㉢ㅥ搶挱ㄱㅤ晣㔱〷㐷ㄱ㌴愲搸㌱㐵㌳㡡㙤㘷ㅤ慥㑡换扤㈸㈶晥〲㠶搳戲㙦扦戳㉥㕢㌸搷愹㠴敤昱攵㙦㕣㤴慥㜲㔳敡慢ㄲ戶愷㠲㑦扢㈸攵扡㈹昵㔴〹摢挳戶攷㕣㤴扡戹㈹㜵㔵〹摢㌳慣㥣戰㌹扤㑦㥤摤㤴㍡愹㠴敤搱㔰捥挶㥣㤴㍡戸㈹戵㔷〹摢ㄳ㤷㥣㙡㌹㈹㕤敥愶㤴愵ㄲ戶〷ㄹ㌹㡦㜲㔲晡慤㥢㔲㕢㤵戰㍤ㅦ挸㐹㤲㤳搲㐵㙥㑡慤㔵挲昶搸ㅤ㘷㐰㑥㑡ㄷ戸㈹晤㕡㈵㙣㑦戳㜱㝡攳愴搴挲㑤愹戹㑡搸ㅥㄲ攳摣挵㐹㐹扡㈹愵慢㠴敤搹㉢㑥㑣㥣㤴㔲摤㤴㔲㔴挲昶㐸ㄳ㘷ㅤ㑥㑡攷㝥㜲昹ぢ晥㔹㈵㙣㑦ち㜱㑡攱愴㜴挶㑤改㐷㤵戰㍤㠰挳昹㠲㤳搲昷㙥㑡晦㔰〹摢㜳㉤㥣っ㌸㈹晤愷㥢搲摦㔵挲昶戸〸敦昴㑥㑡㕦戹㈹㥤㔲〹摢㔳ㄸ昵㉥㑡㈷摤㤴晥慡ㄲ戶㠷ㅢ㜸㡦㜶ㅡ搳〹㌷愵捦㔵挲晥捣㠰㡢搲㜱㌷愵㘳㉡㘱摢㡡攷摤搵㘹㑣㠷摤㤴づ愹㠴㙤㠷㥢户㑥㈷愵㡦摤㤴㍥㔲〹摢挶㌱敦㡢㑥㑡敦扢㈹ㅤ㔴〹摢㝥㉣㙦㝡㑥㑡敦戸㈹敤㔷㠹㠶摢㥣㑤晦〹ㅥㄹ㌵㉥</t>
  </si>
  <si>
    <t>㜸〱扤㕢〹㜴ㄴ㔵扡捥捤㔲攴㠶挵㐶ㅤ㔰㜴㥣づ昸㘰㘴㠹㉣〹㥢㠲㐲㈰散㄰㘴㔳㐴㘲㤶ち〴㍡摤戱扢ㄳ㌶㘵㔱ㅥ㐱挴つㄴㄵ㔰㐰㌶〵挴〵〵㐵ㅣ㐵㝤攲㠲㍡㍡㈳㌸攰㡣捣ㄳ㘵づ攰昸收扤ㄹ㔰搴昱㝤㕦昷扤昳㉥搴㜲搲攷㜸㕥㥤㜳㍦晥扡晦㔷摦㝦扦慥㜴搷慤扡㐵㥡㐸㑢㑢晢〹ㅢ晦攵㤶挹攰搲㌱戳㘲㜱扢㍡慦㌰ㄲち搹攵昱慡㐸㌸㤶搷㉦ㅡ㉤㥤㌵扣㉡ㄶ捦〰挱㉡愹㐲㍥㤶㔵ㄲ慢㥡㙤㘷㤷搴搹搱ㄸ㐸㔹㘹㘹搹搹㌲ㅤ昹㡢㔵ぢ攸ㅤ挹愳㘴㈶〱慣㌴㘹ㄱㅡㄱ戲〹㤲㤰㐳㘸㑣㘸㐲㘸㑡㘸㐶㌸㡦㄰㈰㌴㈷㥣㑦戸㠰㜰㈱攱ㄷ㠴ㄶ㠴㤶㠴㡢〸慣㉦㕢ㄱ㉥〱㌴戹ㄴ㌰戶戰晦愸戲㘹㜰㌳㈶ㅥ㠹摡ㅤ㠳攳㤳㘳敥搳愵㑢㕥㤷扣㙥㍤㍡昷捣敢摣㌱㔸㔸ㅢ㡡搷㐶敤㍥㘱扢㌶ㅥ㉤つ㜵っㄶ搷㤶㠵慡捡㠷搹戳挶㐶愶摢攱㍥㜶㔹攷㙥㘵愵昹㍤扢攴ㄷㄴ㔴昶敡搵戳挹㉦愱㍣戲戰㝦㜱搴慥㡣晤㕣㥡㤷㔱㜳㔴㘱晦扣㤱㜶晣攷搲晣ㄵ㌴㈱㌹㈰㔲㕤㕡ㄵ晥㤹㐴戳㜸㑥扢っ戰换慢㜸昲㙤㍢㕡ㄵ㥥㤲㠷㘱㥦昵㐱㘳慦㐷ㅥ㌸攳㑢愳㠵㜶㈸㜴㥤㕤挹ㄳ摥慣㝡㕣捣㉥慣㡤挵㈳搵㈳㑢慢敤㈶搵晣〰敤愸ㅤ㉥户㘳捤慡〷捥㉣户㐳㡡ㅤ换慥挶愱㈴㘵㌲㌸慦㍡㜹ㄲ㠷㔴搸攱㜸㔵㝣㔶㔳ち㕤㔷ㅡ㥥㘲㤳㤲㔵㍤愸戶慡㈲㉤㌳㔳㘴㘶愶㘵㠸㝦㜳ㅢ㕢攲㔴愹ㄱ㈵㘲㥥挲〶戹㌸㙢㔸晣㤳㙡㜳㡥㍥捦搹愸㥡昸㌰㍢ㅡ戶㐳慡〴㑦㘶㠷㜳㜸㠹捦㈸㜹㉡晥昵㘱㘹㐳㍣㔱愲戱晡晥搱つぢ愵挹㈰㈱ㄷ㘰戵〶㘴づ散摡慤㠷㙣挳扥换〱㈲昳㌰扥挱收㐱晣ㄶ愵㤷㤴愶㤷㤴愵㤷㤴愷㤷㔴愴㤷搸改㈵㤵改㈵㔳搲㑢愶愶㤷㔴愵㤷㑣㑢㉦㤹づ㡥摥戲ㅢ㌵㑡㔷㕢㝢㔱㌰㍤戳搳㡥愲㔵㑢㈷㔵摥昹挱愱㡢〵扦戴㍣搳㘹戲㉤愱ㅤ挰晡㌵〰㠳攸摡㔳㕥挱扥昶〰㈱㍥挱㈰㌸㤰戵㑦慣㘹昳㕤搹㤷㈳收ㄷ慥慢㔹晥攴㡥晦ㄱ晣挶㈷ㄵ㍡㤲摤〹㘰攵〱愰㤰摦㐵㕥挹扥捥〰㈱㍥㔴ち慤㌷摥昲㐵㕤㡢㈶㠵昵攳㑥㥣㝦晦搴㥡㡢〵㝦㉥㤲ち㕤挹敥〶戰昲〱㔰攸㤱㉦ぢ搸搷ㅤ㈰挴㍢㑡愱攳愰慡ㄳ㌹㉦散㈹㝣晥戵挳㘲㜹散攸㥦〴㝦㙢㤲ち㍤挹敥〵戰㝡〳愰㔰搰㔵㕥挵扥慢〱㐲扣愱ㄴ㡡慢㍡㥣挹扣收昴愰㙤搳㘶搵㤶㉣散扢㑤昰敦㌶愹搰㤷散㙢〰搶戵〰㈸㜴敢㈶晢戱慦㍦㐰㠸㔷㤴㐲搱㤴ㅥㅢ戳收捥㉣摡昸㤷㌳㔷㉥㤸㍤改㌶挱㕦戹愴挲〰戲〷〲慣㈲〰㍦㠷㝣㌹㠸㝤㠳〱㐲散㔲ち㥦㍣搵攲挲ㄷ晢戴ㅦ戲㈷㜲搹㤱㙤㥢㡥㠶〵㝦㈲㤳ち㐳挹ㅥ〶戰㠶〳㌸㠶㉥㜲〴晢㐶〲㠴㜸㔶㈹㑣愹晤㝡摥挴ㄹ摢ち户摣戵昱搰晢㜳㥢攴ぢ晥㘵㈴ㄵ㡡挹ㅥつ戰慥〳昰㜳攸㈲挷戰㙦㉣㐰㠸慤㑡㈱敤攸㥢摦捤つ摥㍡㘰摢㤷㐳摡㠴〶散攸㈱昸攳㥣㔴ㄸ㑦昶〴㠰㜵㍤㠰㘳攸㈵㙦㘰摦㐴㠰㄰ㅢ㤵挲㡥て扢㕣摥㜸换㐵㈳㜷ㄷ㤴㑤慡㍥㜶㘶㤵攰㉦㝢㔲㘱ㄲ搹㌷〱慣挹〰㡥愱㥢㉣㘱摦捤〰㈱搶㈸㠵戵ㄳち攴㌷㜷㠸ㄱ㑦㤶敦㙦晡㜰㤷扣㔹㠲㤷㠵愴㐲ㄹ搹攵〰慢〲〰㠵晣捥搲㘶㕦㈵㐰㠸㐷㤴挲㤳㘷㘴晦㜱㙢㜷つ慥㕦戸㙡散㘵㈷㑦晥㈸㜸㑤㐹㉡㑣㈵扢ち㘰㑤〳㔰愱愷攴㜷㐳㠶〰㐲㉣㔷ち敦〵㈶㑤搸晥摦㐵㐳㥥ㄹ晤昶搶㌷㡥㕣晣㌷挱ぢ㔲㔲㈱㑣㜶〴㘰搵〰愸搰㔵摥挲扥㈸㐰㠸扢㤵挲㜹㉢づㄵ扣㌸攳晥㙢㌷㕦昶㤷㠵戳㥥㝤㙤戸攰搵㉣愹㄰㈷扢ㄶ㘰搵〱愰搰㍤㕦捥㘰摦㑣㠰㄰昵㑡攱戱扥㈷㝥㌸扦换㡥挱敢挷晤㌰攳㥢㜷ち㥢〸㕥ち㤳ち戳挹㥥〳戰㙥〵㜰っ摤攵㙤散㥢ぢ㄰㘲㠱㔲挸っ扦㌲㙤㘰昳晦ㅣ㕡摦㘷挳㍤挳㈶户㘹㉡㜸ㅤ㑤㉡捣㈷㝢〱挰扡ㅤ㐰㠵㕥昲づ昶㉤〴〸㌱㐷㈹㕣㄰㤸晣户㉢㉥㔹㍦散愹㍦扥㌲昷戳㍢づ㕤㈱㜸ㄱ㑥㉡㉣㈲扢ㅥ㘰㉤〶㔰愱㥢扣㤳㝤㑢〰㐲搴㉡㠵摤㈷㍥㍦昵昷㘳㕦㡥摡昸㘳㥦扤㝦㍤扦昵㉤㠲㔷昰愴挲㔲戲敦〶㔸昷〰愸㔰㈰敦㘵摦㝤〰㈱㈲㑡攱扥扣ぢ㉥扣晤昸㠰晥扢搶昷改㕣扣散捤愵㠲㤷晦愴挲㌲戲㤷〳慣〷〰㔰㈸挸㤷て戲㙦〵㐰㠸㉡愵昰摡搱收挵摦㡦㔸㜴敤晡敦㍦㈸扦愱敦㡥㤱㠲㜳㠷愴挲挳㘴㍦〲戰㔶〲愰搰㉤㕦慥㘲摦㙡㠰㄰攵㑡攱慦昹摢挳㔷㉥㡤て㝦晣㡢㜹敢㙢慦晣挷㐶㜱ㄱ搲㐹㠵挷挸㕥〳戰搶〲愰搰扤愷㕣挷扥挷〱㐲摣愴ㄴㅥ摤戹㔸摣戹㜷昵挸つㄳ戶ㅦ晣㘰摣捤㡦〹捥㕡㤲ちㅢ挸摥〸戰㌶〱愰搰戵㤷摣捣扥㈷〰㐲㑣㔰ち㌷收ㅦ㜹愵㜹扢昵㠳搷扤㍥㘴摢挹㑢慥㜹㐷戴㐲㍡愹戰㠵散慤〰㙢ㅢ㠰㘳攸㉣㥦㘲摦㜶㠰㄰愳㤵挲搵㔵㌵㉤㍥㥣㜷昷㤰晢敡敦挹㙢昹改晤㉦〹捥㤷㤲ち捦㤰晤㉣挰㝡づ挰捦愱戳摣挱扥攷〱㐲っ㔳ち敦扦昹昴攷㕢〶㝦㍢㝣昱昷㜳搲挲㕦愴摢㔹㐱愴ㅢ㜶攵戵挰っㄶ㑥㡤挴散㜰攲㑡摣愱扡戸慡㝣扡ㅤㅤ㘳㜳搶㘹㔷㡣㠹㤷挶敤㕦ㄸ㔳㠳づ愳挲㠵㔳㜹戱慦㘸㙤昶㔶づ㥣ㄹ户挳ㄵ㜶㐵㜱㌴㔲㘳㐷攳戳挶㤶㤶㠵散ㄶ㘷㔱晡㘱ㅡ㕢㘷㈳㜱昱㔹摤㐵㤱昲摡㔸㘱㈴ㅣ㡦㐶㐲㘷㘷晡㔵搴㤵㘲㍡㔲㌱㈲㔲㘱愷㘵㘴〸㤱㤶㝥㠱扡㉣て慣挳攴㘳㜰㘹戸㈲㘴㐷㝤愷捡㠲㜳ぢ㉢〷㕢㕡ㄶ㉦摥愹㑦㌳搲㜱㤴㑣捣㙡㌰〷㡤㘵㔵ㄷ㐵愲戱㡣っ户愲㠳㑢㘳㔳攳昴敤㥦愴摥㑥挲㉥㐰㔶ㅢ㐰㐳㘶㌱晣换ㄴ愵愲㑣㤴㡢ち㘱㌷慡挶㉣㘷挴㤴㘸㔶㘲昲㤶㔵㍤挰㡥㤵㑢捥捥㠶攰㈴捣戴㄰㠵㙡㌱愷攳挷㙡捦㡣て㈸㡤㤷㌶慡㉥㉥挵散㉥摥っ〷㠲搷㐱〹㌴搱扢㠹㐹愰摥愱㕣㐰敦㘸搵愶晦搷〱昱ぢ昴㥥㔱攳㕦摡挹㔲㌲㔱㠷挲挹㠸慡㑤ㄳ㝤㕡㌲㐷敤㐱㉦㤰〸つ戱挶㠹㡥愴ㄲ扣攳敦ㅦ㝦〰㘹ㄹ㤸㔹㈶晥㐹愲挵捤晦攳挳㌸昱㐱㕤〶㠱㙣换昷挴㕣㝥捥ㅣ㌱㌱㤷㉣㉦ㅢㄷ慦ち挵昲㌰㤸㐱搱㐸㙤つ㜵晥扦敢晤㕣攳收搸㤳摢户㍦昹晦㝢攴搵ㅣ搹ㅡㄴ敢㈵昲昰㌳愳昸昸愳摤㡤㡥㥣㘴㔶㌲敢㑣㈶㡥昴挸㘵㕤㡥㐳㔲㤹㡣㜳攲摡愴㝡㔴㜹搹搸愸㥤戸挱挸㑥散捣慡戱㥢㔶㑦㠸㐴愷㤷㐵㈲搳昹ㄷ搶㉣戱ㄷ㥢㙡摢㜱㑥搹ㅢ慢㥢ㄴ挶㐲㠸㡣㡣戳愶收挶摣晥㔷搰户昶〲㥡昶ぢ㠵㠲㕡㌱㘶扤捥㝥晣㐱攰扣㕢㙦㈰敥㌶愲戴㍣ㅡ改㠴㍢搷昲愹愵戱㜸㔵㜹愷㈱攱㥡摡㜸慣㔳㜹愴扡㈶㘴挷敤㑥㘱㍢㍥〳〳敡㔴㡤㕦慢㔰摥捣㔰慣㕡㕣慤㝥愰㘷㘷㘴㘶㙤摢㍢㙦搸㥡㘶攱愷㡡㉦㑦捦ㄷ㔷愹㠴㘳愶摦ㄶ愵㠲㉣㥤昸挵ㄲ敤㄰收愲挹户〸晢〰㠲戳㝤晥㘶㈴户㠶㥣挸㕦㠳敡㍣ㅤ敦愲ㄷ攷搱㈷改㤷ㄳ敤㜱㌸捦愵攴㘷㈷昹㘹㐹㝥㑣愲愳㤷攵づ㉡攱戸㌵改㠸挳㠲㘸捡㜲㈷㠴〹换〷㄰挸㠳〰挱摢㤳搴㉣攷昱㔸挷㕦攷㈱昴挲戲㑦搲㉦㈷㍡攳㜰㌷换㤷㝡㔹扥㐴㈵ㅣ昷㔲㕤愱ㄴ㐴㔳㤶扢㈱㑣㔸晥ち㠱㍣〶㄰扣㥦㑡捤㜲㍥㡦㜵㔸㍥㡥㕥㔸昶㐹晡攵㐴㜷ㅣ敥㘶戹㠹㤷攵挶㉡攱戸昹敢〹愵㈰㥡戲摣ぢ㘱挲昲㈹〴昲㌴㐰昰〶㌰㌵换扤㜹慣挳昲ㄹ昴挲戲㑦搲㉦㈷㜸ぢ敡㘶昹㠷㝦㈶㙦慤ㅤ摦攵敦㔵挲㜱户摡ㄷ㑡㐱㌴㘵昹ㅡ㠴〹换㤶挰戰ㅢ〱㐴㍦㜴愵㘶昹㕡ㅣ攱戴㥣〳㌱㔸昶㐹晡攵㐴㝦㠸扡㔹㍥改㘵昹㠴㑡㌸㙥慦〷㐰㈹㠸愶㉣昳昶㍡ㄷ㑤戶挰〰㘵㑢㠰ㄸ㠴摤搴㉣ㄷ㔱挰㜱㤶㕢㐱っ㤶㝤㤲㝥㌹㌱ㄸ愲㙥㤶㍦昳戲㝣㔸㈵ㅣ捦〳㠶㐲㈹㠸愶㉣て㐳㤸㡢㈶摢㘲㠰戲ㅤ㐰㡣挰㙥㙡㤶㠷㔳挰㘱戹㍤挴㘰搹㈷改㤷ㄳ㈳㈱敡㘶㜹扦㤷攵昷㔴挲昱〰愳ㄸ㑡㐱㌴㘵㤹て㌰㜲搱㘴㜷っ㔰昶〰㠸㌱搸㑤捤昲㜵ㄴ㜰㔸敥つ㌱㔸昶㐹晡攵挴㔸㠸扡㔹摥攳㘵昹㘵㤵㜰㍣㜱ㄹて愵㈰㥡戲㍣〱㘱㉥㥡㉣挲〰攵㈰㠰戸〱扢愹㔹扥㥥〲づ换㐳㈱〶换㍥㐹扦㥣㤸〸㔱㌷换摢扣㉣㙦㔵〹挷㈳㈲㍥ㄸち愲㈹换㝣㐴㤴㡢㈶挷㘳㠰㜲〲㐰㤴㘰㌷㌵换㤳㈹攰戰㍣ㄱ㘲戰散㤳昴换㠹㥢㈱敡㘶㜹戵㤷攵㔵㉡攱㜸愶㔵〶愵㈰㥡戲㕣㡥㌰ㄷ㑤㔶㘲㠰㜲ち㐰昰戹㔶㙡㤶㉢㈸攰戰㍣つ㘲戰散㤳昴换㠹㑡㠸扡㔹㕥敡㘵昹㉥㤵㜰㍣㠴㥢ち愵㈰㥡戲捣㠷㜰戹㘸戲づ〳㤴㌳〰㘲㍡㜶㔳戳㍣㡤〲づ换戳㈱〶换㍥㐹扦㥣〸㐱搴捤昲慤㕥㤶攷愸㠴攳愹㘱ㄸ㑡㐱㌴㘵㤹㑦つ㜳搱攴㈲っ㔰搶〳〴㥦ㅣ愶㘶戹㠶〲づ换㑢㈰〶换㍥㐹扦㥣㠸㐲搴捤㜲挸换昲㜴㤵㜰㍣收㡣㐳㈹㠸愶㉣昳㌱㘷㉥㥡㕣㠱〱捡㠷〰㘲〶㜶㔳戳㕣㐷〱㠷攵㤵㄰㠳㘵㥦愴㕦㑥捣㠴愸㥢攵㐹㕥㤶㙦㔴〹挷㜳搹搹㔰ち愲㈹换㝣㉥㥢㡢㈶㌷㘱㠰㜲㌳㐰昰搹㙣㙡㤶昹㕣搷㘹㜹ぢ挴㘰搹㈷改㤷ㄳ㜳㈱敡㘶㜹戸㤷攵㘱㉡攱㜸㤰㍣ㅦ㑡㐱㌴㘵㜹〱挲㕣㌴戹ㄳ〳㤴扢〰攲づ散愶㘶昹㜶ち㌸捥昲㙥㠸挱戲㑦搲㉦㈷ㄶ㐲搴捤昲搵㕥㤶慦㔲〹挷㤳敦㐵㔰ち愲㈹换昵〸㜳搱攴㕢ㄸ愰摣〷㄰㝣晡㥤㥡攵挵ㄴ㜰㔸㝥ㄷ㘲戰散㤳昴换㠹㈵㄰㜵戳摣搱换㜲〷㤵㜰㍣慡㕦ち愵㈰㥡戲捣㐷昵戹㘸昲〰〶㈸て〲〴ㅦ搷愷㘶昹ㅥち㌸㉣ㅦ㠲ㄸ㉣晢㈴晤㜲攲㍥㠸扡㔹扥搴换昲㈵㉡攱㔸㕢㔸〶愵㈰㥡戲捣戵㠵㕣㌴昹ㄵ〶㈸㡦〱〴搷ㄷ㔲戳晣〰〵ㅣ㤶㡦㐳っ㤶㝤㤲㝥㌹戱〲愲㙥㤶㥢㜸㔹㙥慣ㄲ㡥挵㤰㠷愱ㄴ㐴㔳㤶ㅦ㐱㤸㡢㈶㑦㘱㠰昲㌴㐰㜰㐱㈴㌵换㉢㈹攰戰㝣〶㘲戰散㤳昴换㠹搵㄰㜵戳晣挳㡦㕥昷换㉡攱㔸扤㜹っ㑡㐱㌴㘵㜹つ挲㕣㌴㘹愵〳ㅡ〱挴㍡散愶㘶㜹㉤〵ㅣ㤶㜳㈰〶换㍥㐹扦㥣㜸ㅣ愲㙥㤶㑦㝡㔹㍥愱ㄲ㡥攵愶つ㔰ち愲㈹换㕣㙥㑡㔸㙥㐱换㉤㘹㜹㌳扡㔲戳扣〹㐷㌸㉤户㑡㕡昶㐹㑡㥦㥣㜸〲愲㙥㤶㍦昳戲㝣㔸㈵ㅣ敢㘳㕢愰ㄴ㐴㔳㤶户㈲㑣㔸㙥㑢换敤㘸㤹㙢㘴愹㔹摥㠶㈳㥣㤶摢㈷㉤晢㈴愵㑦㑥㙣㠷愸㥢攵晤㕥㤶摦㔳〹挷㠲摥㌳㔰ち愲㈹换㕣搰㑢㔸敥㑥换㍤㘸㤹㡢㝡愹㔹㝥づ㐷㌸㉤昷㑥㕡昶㐹㑡㥦㥣㜸ㅥ愲㙥㤶昷㜸㔹㝥㔹㈵捥㕤㠱捣摣〹㈵摦挵㤶㐶㈰攴っ㡦㤴㔶ㄴ㤵㤶攳㙤戰㐶敡㕤戰散㐲㍣㑥挷㍡㔵㌴挰挵戴㐲㍣㑡挷㠲㘲㕤㔵㠵ㅤ捤㘶挷ㄸ扣敢㤶挹㘵㌸㉢戱挰ㄵ挳㝡㔰㐶㕡㔶㔶攳㙣户㕡㐳戴搶攵㉥敦搲つ㜱攸㥦ㅣ摤㤳㡦攸昰挳㤰〱㤴㐵㍣㌹㠳㜸㜲㜶㘱㤷㝥捥㈱っ㈶㘱〸〹扢つ㐲㜳挴㌹㌹㐴㌹㤴㠴㘱㈴扣㘵㄰㄰敡ㄲ挳㐹ㄸ㐱挲㍥㜷挲㐸ㄲ㐶㤱昰慥㐱㌰㑡ㄴ㤳㌰㥡㠴〳〶〱愱㉥㜱ㅤ〹㘳㐸㌸攸㑥ㄸ㑢挲㌸ㄲづㄹ〴愳挴㜸ㄲ㈶㤰昰㤵㐱㐰愸㑢㕣㑦挲つ㈴ㅣ㜳㈷㑣㈴攱㐶ㄲ㡥ㅢ〴愳挴㈴ㄲ㙥㈲攱㤴㐱㐰愸㑢㑣㈶愱㠴㠴搳敥㠴㥢㐹㈸㈵攱㡣㐱㌰㑡㤴㤱㔰㑥㠲㈵㕣捦㘶〵〹㌶〹㡤摣〹㤵㈴㑣㈱㈱挷㈰ㄸ㈵愶㤲㔰㐵㐲ぢ㠳㘰戸㤸㐶挲㜴ㄲ㕡扡ㄳ㐲㈴㔴㤳搰捡㈰ㄸ㈵挲㈴㐴㐸㘸㙢㄰㡣ㄲ㌵㈴摣㐲㐲㍢㜷㐲㤴㠴ㄸ〹敤つ㠲㔱㈲㑥㐲㉤〹摤つ㠲㔱愲㡥㠴ㄹ㈴昴㜰㈷捣㈴㘱ㄶ〹扤つ㠲㔱㘲㌶〹㜳㐸㈸㌲〸㐶㠹㕢㐹戸㡤㠴㐱敥㠴戹㈴捣㈳㘱愸㐱㌰㑡捣㈷㘱〱〹攳つ㠲㔱攲㜶ㄲ敥㈰㘱㠲㍢㘱㈱〹晦㑥挲㐴㠳㘰㤴㔸㐴㐲㍤〹㤵〶挱㈸戱㤸㠴㍢㐹㤸攲㑥㔸㐲挲㕤㈴㑣㌳〸㐶㠹愵㈴摣㑤㐲㥤㐱㌰㑡摣㐳挲扤㈴捣㜰㈷摣㐷挲晤㈴捣㌶〸㐶㠹㘵㈴㉣㈷㘱㤱㐱㌰㑡㍣㐰挲㠳㈴搴扢ㄳ㔶㤰昰㄰〹㑢っ㠲㔱攲㘱ㄲㅥ㈱㘱㠵㐱㌰㑡慣㈴㘱ㄵ〹て戹ㄳ㔶㤳昰㈸〹㉢つ㠲㔱攲㌱ㄲ搶㤰戰挹㈰ㄸ㈵搶㤲戰㡥㠴捤敥㠴挷㐹㔸㑦挲ㄶ㠳㘰㤴搸㐰挲㐶ㄲ㜶ㅡ〴愳挴㈶ㄲ㌶㤳戰换㥤昰〴〹㑦㤲戰摢㈰ㄸ㈵戶㤰戰㤵㠴户っ㠲㔱㘲ㅢ〹㑦㤱戰捦㥤戰㥤㠴愷㐹㜸搷㈰ㄸ㈵㥥㈱攱㔹ㄲづㄸ〴愳挴㜳㈴散㈰攱愰㍢攱㜹ㄲ㕥㈰攱㤰㐱㌰㑡散㈴㘱ㄷ〹㕦ㄹ〴愳挴㡢㈴扣㐴挲㌱㜷挲㙥ㄲ㕥㈶攱戸㐱㌰㑡散㈱攱ㄵㄲ㑥ㄹ〴愳挴㙦㐸㜸㤵㠴搳敥㠴搷㐸搸㑢挲ㄹ㠳㘰㤴㜸㥤㠴㌷㐸戰〰㉥㔷晦㌷㐹昸てㄲㅡ戹ㄳ摥㈲㘱ㅦ〹㌹〶挱㈸昱㌶〹敦㤰搰挲㈰ㄸ㉥摥㈵攱㍤ㄲ㕡扡ㄳ昶㤳昰㍥〹慤っ㠲㔱攲〳ㄲ㍥㈴愱慤㐱㌰㑡晣㤶㠴㡦㐸㘸攷㑥昸㤸㠴摦㤱搰摥㈰ㄸ㈵㝥㑦挲㈷㈴㜴㌷〸㐶㠹〳㈴ㅣ㈴愱㠷㍢攱㔳ㄲ晥㐰㐲㙦㠳㘰㤴㌸㐴挲㘱㐰愰〸挰㉤㌰㐸〷㠳㜵㌰㐴〷㐳ㄱ㔸攰㔸㥦㈱〸ㄴ昶㉦㌹敢㌵㜷敢㡦攸㙤㕣㤲㝣戱㘳㉣摥㈲戱晥㠴㡥愶㈵挹ㄷ攱㤳㤳㑡敢㜳㜴㌵挱㤱㠹㕤扣㉥ㅦ戳㡥愰愷ㄹ㝡㡣ㄷ搷慣㍦愳慦㌹晡捥㝥ㅢ㍥㌰っ摤慣㥦㉤昰㍦㌱㄰愷攵㈴㕥ㅡ㤷㐱㠴昲㈸㍡〲挳搹㡢㉤㌰㐲〷㈳㜵㌰㑡〷挵〸愸㈲改㐲㜲搰㤲〳㤵ㅣ㥡攴㘸㈴换〷㐶〳捥㈹搶㡥㐷戵㈵㝣㑤挶㜵〰㙥㠱㌱㍡ㄸ慢㠳㜱㍡ㄸ㡦愰〱挵㈶㈸㥡攱㡣㉦㙢挸㡥㠴㔳㐸〶慥搷㡡㌷攸㘰愲づ㙥搴挱㈴〴㉣㘶㥤㐶攰㍣㍦摦愲昷慣昳昳ㅤ㍡捥㌹㍦㘷搰㜵昶昹昹ㅥ㍤攷㥥㥦ㅦ搰攷㜲㝥㙥㐲昷㌹ㅦ㔹㌷ㅡ攸㑡昸〹挹挰㘴〰户㐰㠹づ㙥搶㐱愹づ㌸㥦㙣挰㐷挶ㄹ攷㌹挵㝡㐱㔹昶㈴㘴攳㍥㈳㔰愱ㄵ㌹昷攴ㄶ愸搴挱ㄴㅤ㑣㐵搰㠰㘲㔵㡡㘶㥣ㅦ摥搰挸扥㠴收㉣㌶㑤㉢㑥搷㐱㐸〷搵㍡〸㈳㘸㐰戱㠸愲ㄹ挵戸摡㉦〷㄰㕡戱㔸㡤㔶扣㐵〷㔱ㅤ挴㜴㄰㐷搰㠰㘲戵㡡㘶ㄴ攳㍡扢ㅣ㑡㘸挳㘲㜵㕡㜱㠶づ㘶敡㘰㤶づ㘶㈳㘸㐰戱㌹㡡㘶ㄴㅢ捤㍡挵㠴㡥㉣㜶慢㔶扣㑤〷㜳㜵㌰㑦〷昳ㄱ㌴愰搸〲㐵㌳㡡㑤㘰㥤昱㠴〲ㄶ攳㑣㤵㕢㠰戳搵㐴戰㔰〷㥣㥥㈶㝡ㄶ㈱㐸ㄴ攳㜷㑡昲㉢㈴昹戵㤱晣愲㐸㝥㌷㈴扦っ㠱㝡〰㘹㐶㌱慥敡㑡慥昴捡扥㉣戶ㄸっ㙥㠱㍢㜵戰㐴〷㜷改㘰㈹㠲〶㌸扢㕢搱㡣㘲攵㔰㤶㘵㠴㐱㉣㜶㡦㔶扣㔷〷昷改攰㝥ㅤ㉣㐳搰㠰㘲换ㄵ捤㈸挶㤵㑣㌹㤵㔰捣㘲て㘸挵〷㜵戰㐲〷て改攰㘱〴つ㈸昶㠸愲ㄹ挵戸㠶㈸戹慥㈸㙦㘰戱㤵㕡㜱㤵づ㔶敢攰㔱ㅤ㍣㠶㈰㔱捣晦㥣慤㔱㌴愳ㄸ㔷敦㈴㔷昴㘴ㄹ㡢慤搵㡡敢㜴挰挹㉣户〰㈷戴㠹㘰〳㠲〶㌸攳晣㤶㌴愳ㄸ搷捤攴㙣挲㜴ㄶ摢愴ㄵ㌷敢攰〹ㅤ㍣愹㠳㉤〸ㅡ㔰㙣慢愲ㄹ挵ㄶ戰捥㝣〲晦㡢㘳㘰㥢㔶㝣㑡〷摢㜵昰戴づ㥥㐱搰㠰㘲捦㉡㥡㔱慣㥥㜵ㄶㄱ㙥㘳戱攷戴攲づㅤ㍣慦㠳ㄷ㜴戰ㄳ㐱〳㡡敤㔲㌴愳ㄸ㔷㘹攴搲㐴㐵ㄶ㝢㔱㉢扥愴㠳摤㍡㜸㔹〷㝢㄰㈴㡡昹晦㠱扣愲㘸㐶㌱慥㡦挸㘵㠴㝢㔹散㌷㕡昱㔵ㅤ扣愶㠳扤㍡攰㝣户〱捥㌸㈳㈶捤㈸挶㤵〹挹搵ち昹㌰㡢扤愹ㄵ㌹㌷收ㄶ㜸㑢〷晢㜴昰㌶㠲〶㌸㝢㐷搱㡣㘲㕣ㄳ㤰㕣㈷㤰敢㔸散㕤慤昸㥥づ昶敢攰㝤ㅤ㝣㠰愰〱捥㍥㔴㌴愳ㄸ㥦挶换つ㠴㉤㉣昶㕢慤昸㤱づ㍥搶挱敦㜴昰㝢〴つ㜰昶㠹愲ㄹ挵昸ㅣ㕣昲搹戸摣挱㘲〷戴攲㐱ㅤ㝣慡㠳㍦攸攰㄰㠲〶㌸㍢慣㘸㐶戱㘷㔹㠷㑦愵攵ㅥㄴㄳ㐷挱㜰㝢散㝢敤てㅥ㑢㌸搷愸㠴攳昵攵慦㍤㤴慥昲㔲敡慤ㄲ㡥户㠲㑦㜹㈸㜵昷㔲㉡㔰〹挷换戶㍦㜹㈸㜵昱㔲敡慣ㄲ㡥㜷㔸㌹㘱㜳晢㥣㍡㝡㈹㜵㔰〹挷慢愱㥣㡤戹㈹戵昳㔲㙡慢ㄲ㡥㌷㉥㌹搵㜲㔳㙡敤愵㤴慢ㄲ㡥ㄷㄹ㌹㡦㜲㔳晡愵㤷搲愵㉡攱㜸㍦㤰㤳㈴㌷愵㡢扣㤴㕡慡㠴攳戵㍢捥㠰摣㤴㉥昰㔲㍡㕦㈵ㅣ㙦戳㜱㝡攳愶搴捣㑢愹愹㑡㌸㕥ㄲ攳摣挵㑤㐹㝡㈹㘵慢㠴攳摤㉢㑥㑣摣㤴㌲扤㤴㌲㔴挲昱㑡ㄳ㘷ㅤ㙥㑡㍦㝤敦昱つ晥愷㑡㌸摥ㄴ攲㤴挲㑤改㡣㤷搲㜷㉡攱㜸〱㠷昳〵㌷愵㝦㜸㈹晤㕤㈵ㅣ敦戵㜰㌲攰愶昴㕦㕥㑡摦愸㠴攳㜵ㄱ㕥改摤㤴㑥㜸㈹ㅤ㔷〹挷㕢ㄸ㡢㍣㤴扥昲㔲晡㔲㈵ㅣ㉦㌷昰ㅡ敤㌶愶㍦㝢㈹ㅤ㔱〹攷㍢〳ㅥ㑡㥦㜹㈹ㅤ㔶〹挷㔲㍣慦慥㙥㘳㍡攸愵㜴㐰㈵ㅣ㉢摣扣㜴扡㈹㝤散愵昴㤱㑡㌸ㄶ㡥㜹㕤㜴㔳㝡摦㑢㘹扦㑡㌸搶㘳㜹搱㜳㔳㝡摢㑢㘹㥦㑡㥣扢捣搹昸㝦〱㝡慡㈹㉥</t>
  </si>
  <si>
    <t>㜸〱扤㕢〹㜴ㄴ㔵扡捥捤㔲攴㠶挵㜶〳〷户㡥㈲捣戰㘴㔸ㄳㄶ㐵㈱㉣㈱㙣㘱ㄱ㐴搱搰㐹㉡㄰攸㈴搸摤〱〲愸愰〸㡡〸〸㠲㠸㈸挲戰つ㡢㡡ぢ㈸攰㍥㠰㠲扢㈳㈸㌸昳昴ㅤ㠵㜳ㄴ㐵摦㈸㡥摢昰扥慦晢摥㤹㑢㙡㜹改㜳㍣慦捦戹ㅦ㝦摤晦慢敦扦㕦㔵愵敢㜶摤㈲㐵愴愴愴㥣挶㠷晦昲㤳捥攰愲ㄱ戵搱㤸㕤㤹㤳㕦ㅤづ摢愵戱㡡敡慡㘸㑥慦㐸㈴㔴㍢愸㈲ㅡ㑢〳挱㉡慥㐰㍥㥡㔱ㅣ慤㤸㙥㘷ㄶ㑦戱㈳㔱㤰㌲㔲㔲㌲㌳㘵㉡昲扦㔳㉤愰㌷㈴昷㤲改〴戰㔲愴㐵㘸㐰挸㈴㐸㐲ㄶ愱㈱愱ㄱ愱㌱愱〹攱㉣㐲㠰㜰㌶攱ㅣ挲戹㠴昳〸攷ㄳ㥡ㄲ㥡ㄱ㉥㈰戰扥㙣㑥戸㄰搰攸㈲挰挸晣摥㐳㑢㈶挲捤㠸㔸㜵挴㙥ㅢㅣ㤵ㄸ昳㔵ㅤ㍡攴㜴挸改㤴搷扥㙢㑥晢戶挱晣㥡㜰慣㈶㘲㕦㔵㘵搷挴㈲愱㜰摢㘰㔱㑤㐹戸愲㜴愰㕤㍢戲㝡㤲㕤㜵㤵㕤搲扥㔳㐹愸㜳搷づ㥤扢㜴㈹敦搶慤㙢愳㡢愱㍣㈴扦㜷㔱挴㉥㡦晥㔶㥡㤷㔰㜳㘸㝥敦㥣㈱㜶散户搲扣ㄴ㥡㤰散㔳㕤ㄹ慡愸晡㡤㐴㌳㜸㑥㍢昴戱㑢㉢㜸昲㙤㍢㔲㔱㌵㍥〷挳㍥攳㐰㘳㉢㉦〷㥣㔱愱㐸扥ㅤづて户换㜹挲㥢㔴㕥ㅢ戵昳㙢愲戱敡捡㈱愱㑡扢㔱㈵て愰ㅤ戱慢㑡敤㘸㤳捡扥搳㑡敤戰㘲㐷㌳㉢戱㉢㐹改っ捥慡㑣㥣挴〱㘵㜶㔵慣㈲㔶摢㤸㐲挳㐳㔵攳㙤㔲㌲㉡晢搷㔴㤴愵愴愷㡢昴昴㤴㌴㜱㠵摢搸攲愷㑡㡤㈸ㅥ昳ㄴ搶换挵ㄹ挳攲㈵㜵㜹ㅤ㝤㥥戳愱㤳㘳〳敤㐸㤵ㅤ㔶㈵㜸㌲摢搴攱挵㡦㔱攲㔴晣晢㘰㘹㐳㍣㔱愲愱晡晢愳ㅢㄶ㑡㤱㐱㐲㌶挰扡っ㤰摥户㘳㕥㈷㜹㌹晢㕡〰㐴晡㔱晣〵㥢㍢昱慦㈸戵㌸㤴㕡㕣㤲㕡㕣㥡㕡㕣㤶㕡㙣愷ㄶ㤷愷ㄶ㡦㑦㉤㥥㤰㕡㕣㤱㕡㍣㌱戵㜸ㄲ㌸晡㤳搹愰㐱慡晡㕣㤱摡㌷敢㘴捤慣㠲㔵戲昹ㄵ户ㄷ慥㥤㉦昸㐷换㌳㥤㈲㕢ㄲ㕡〱慣摦〳㌰㠸㉥㜹昲て散㙢つ㄰攲〳っ㠲〳㤹㕦㜰攵㉤㘷㑤㉦捤摦昶搸摦ㅥ扦㜵昱㉢㍤〴晦攲ㄳち㙤挹㙥〷戰㜲〰改㝤㍢戵敦㈰晦挸扥昶〰㈱摥㔶ち挵㐷㥥㙣戴㜷搵〳㠳㜷扤㔷㌰慣晢捣敢㠶ぢ㝥㕤㈴ㄴ㍡㤲摤〹㘰㜵〶㘰っ戹ㅤ㘴ㄷ昶攵〲㠴㜸㕤㈹慣晥㔳扢㘷愷昷㙣㍤㘰敤㡦㕢㌷敤㉡扤㙡愹攰㜷㑤㐲愱㉢搹摤〰㔶㜷〰㕤㜴㤱㍤搸㜷㈵㐰㠸㔷㤵挲挲㠵㕤搶㠷晡㕦㌸㘰㙤敢㉤㥦㘴㝣㜷攱〹挱敢㌶愱搰㤳散慢〱搶㌵〰㡥愱㡢散挵扥摥〰㈱㥥㔷ち搶戲散㥡㐳愷㍥ㅦ㝣晢搷扢㕦㕤搶攳戹愳㠲摦㜲〹㠵㍥㘴昷〵㔸晤〰㔴攸㈶晢戳慦〰㈰挴㑥愵戰攴挹㘵敦㙣て㡣㈹㝣收昳昲㌱㌷㙥晥昶㈵挱慦挸㠴㐲㈱搹〳〱搶㈰〰ㄴ昲摡换挱散ㅢ〲㄰㘲扢㔲㘸戶㙥昲㥥㈵扢㡥つ扣敦㠵晣愲㙦㠳㈷㙣挱㉢㈳愱㔰㐴昶㌰㠰㌵ㅣ〰㠵㙥㥤攵〸昶㡤〴〸戱㐵㈹㝣㝣昳㍦ㄶ攵捤㕣㍦㘴攱㠴㠵〷㍦扢攱晣㤳㠲㕦捥〹㠵㔱㘴㡦〶㔸搷〱攸愲㤳ㅣ挳扥敢〱㐲慣㔷ち摦扣ㅢ㕡㝥改晢摦ㄷ摥昳挷㠵〵㙢㜶慣㙦㈵昸捤㥥㔰ㄸ㑢昶㡤〰敢㈶〰ㄴ扡㜴㤳挵散ㅢ〷㄰㘲戵㔲攸昶㐹摢搰戲㉤戵扤戶昶晣㘸㕢ぢ昹摥㝤㠲户㠵㠴㐲〹搹愵〰慢っ挰攳搰㔱摡散㉢〷〸昱愰㔲㌸㙦捥㡣㔸㙤昸扣晣㠵愷㙡摢晤敢㡥晣㑥㠲昷㤴㠴挲〴戲㉢〰搶㐴〰挷搰㔵昲㙦㐳㠶〱㐲㉣㔵ち㠳㝢㝣㜸摥戳㈳㘷づ摤戸昷㥦攱㜶㥦㥥㍥㈱㜸㐳㑡㈸㔴㤱㕤つ戰㈶〳愰搰慤㥢扣㤹㝤ㄱ㠰㄰昷㉡㠵〱㙦㤴敦摤㌴敤扦ぢ㤷昶晦昹㥣晤扦昶戹㔳昰㙥㤶㔰㠸㤱㕤〳戰愶〰愰搰㌵㑦㑥㘵摦㌴㠰㄰昳㤴㐲敤㤵㤷敤ㅤ昷昷敦慦㜹晡挷慢㕢捥摦搵晢㍥挱㕢㘱㐲㘱㍡搹㌳〰搶㑣〰㕤攴捡㕢搸㜷㉢㐰㠸搹㑡愱昰愳攳摦㥤㝣昶慤晣㔹㜷㙥晣㘴攴㍤㡤昷ち摥㐷ㄳち戳㄰挹搹〰敢㜶〰ㄴ昲㜲攵ㅤ散㥢〳㄰㘲㠶㔲㤸ㅥ㙡ㄶ㝥㙤搷戴㈱慢㥥て㕡㙦㌷摡㜵㕣昰㈶㥣㔰㤸㑢昶㍣㠰㜵ㄷ㠰ち㜹昲㙥昶捤〷〸㔱愳ㄴ㔲〷㜶慢扤㙢搸挹晣㠷㔶㡣敢㝣挹㡥捤ぢ〵敦攰〹㠵〵㘴摦ぢ戰ㄶ〲㜸ㅣ㍡捡㐵散㕢っ㄰愲㕡㈹㝣戵㘱捤昶搷〷㜷ㄸ戴㈷㝣昵扥㕥晢㥡攵〸摥晥ㄳち㑢挸㕥ち戰敥〷㔰愱扤㕣挶扥攵〰㈱㉡㤴挲搷㜳㥡㕤扣敤捡㜵〵㡢慦㘸搸㌱换㕥㍣㕢㜰敥㤰㔰㔸㐱昶㠳〰㙢㈵㠰㉥㍡挸㠷搸户ち㈰㐴愹㔲昸攰㜴敥慦㌳戶㑥㉤㔸㜹昳㥡㘳敦㙣㕢㍣㔶㕣㠰㜴㐲攱ㄱ戲㔷〳慣㐷〱㔰挸捤㤳㙢搸户ㄶ㈰挴㡤㑡攱戵慤㥦㡥搹㔹㜱摢搰扢戶ㅦ晦挳慦㕦㙥ㅥ㉢㌸㙢㐹㈸慣㈳㝢㍤挰摡〰愰㐲慥摣挸扥㑤〰㈱㐶㉢㠵㠷㉢㕥㕡扢攸㈶㌱㘸昷摥攷昶㌴㍢㌷㜸戹㘸㡥㜴㐲㘱㌳搹㕢〰搶㔶〰ㄵ㍡捡㙤散㝢っ㈰挴㌰愵搰㜹㝦㘴搵搵㕤㌶ㄴ扥昰搳㤸㌹㙤㜳て㕥㈵㌸㕦㑡㈸㍣㐱昶㜶㠰昵㈴㠰挷愱㡢㝣㡡㝤㑦〳㠴ㄸ愸ㄴ㘶㔴っ扢攳㤲搷㝢ㄶ㉣慡晣昱敢捤㥦㠶㥦挹〸㈲㕤扦㍢慦〵㘶㌰㝦㐲㜵搴慥㡡摦㠹摢㔴ㄶ㔵㤴㑥戲㈳㈳㙣捥㍡敤戲ㄱ戱㔰捣㍥摦㤸ㅡ戴ㄹ㕡㤵㍦㠱㌷晢戲换捣摥昲扥搳㘲㜶㔵㤹㕤㔶ㄴ愹㥥㙣㐷㘲戵㈳㐳㈵㘱扢改ㄹ㤴㕥㤸挶㑥戱㤱昸摤ㄹ摤晤慡㑢㙢愲昹搵㔵戱㐸㜵昸捣㑣慦戲㈹㈱㑣㐷捡〶㔷㤷搹㈹㘹㘹㐲愴愴㥥慢㙥换㝤愷㘰昲㔱㄰慡㉡ぢ摢ㄱ摦愹戲攰摣挲捡挲㈷㈵㠳㌷敦攴愷ㄹ愹搸㑢挶㘷㌵㤸㠳㐶㌳㉡晢㔵㐷愲㘹㘹㙥㐵ぢ㐲搱〹㌱晡昶㑦㔲㙦〷㘱㈷㈰攳㜲㐰㝤㘶㌱扣㌲㐵㐸㤴㠸㔲㔱㈶散〶㤵㤸攵っㅥㅦ挹㠸㑦摥㌲㉡晢搸搱㔲挹搹搹〰㥣㠴㘹ㄶ愲㜰つ收㜴㍣慣昶戴㔸㥦㔰㉣搴愰戲㈸㠴搹㕤慣〹㜶〴慦㡤ㄲ㘸愴㌷攳㤳㐰扤㐱戹㠰摥搰慡㡤晦搳〱昱㜳昵㤶㔱攳摦摡㠹㔲㌲㕥㠷挲㠹㠸慡㡤攳㝤㕡㌲㑢㙤㐱㉦㄰てつ戱㠶昱㡥㠴ㄲ扣攳晡挷〵㤰㤲㠶㤹㘵晣㥦〴㕡晣昸ㅦ㍥㡣ㄳ〷敡ㄲ〸㘴㕡扥㈷愶㐵㥤㌹㘲㝣㉥㔹㕡㜲㙤慣㈲ㅣ捤挱㘰晡㐷慡㙢㈶㔳攷晦扢摥㙦㌵㙥㡥㍤昱昹攷㘹晦㝦㍦㜹㌱㑢㕥〶㡡昵ㅣ㜹昸㥡㔱㝣㕣戴扢搰㤱㤵挸㑡㘶㥤挹昸㥥ㅥ戹㡣ㄶ搸㈵㤹挹㌸㈷慥㡤㉡㠷㤶㤶㡣㡣搸昱ㅦㄸ㤹昱㡤摡挹㜶攳捡搱搵㤱㐹㈵搵搵㤳㜸㠵㌵㠹㙦㐵㈷搸㜶㡣㔳昶㠶敡㐷ち㘳㈱㐴㕡摡ㄹ㔳㜳㘳㙥㝦㈹昴慤㤷〱㡤㝢㠵挳㐱慤ㄸ戵㕥㘱㍦㉥〸㥣㜷敢㔵挴㥤〶㠷㑡㈳搵敤昰换戵㜴㐲㈸ㅡ慢㈸㙤㌷愰㙡㜲㑤㉣摡慥戴扡㜲㜲搸㡥搹敤慡散搸㔴っ愸㕤㈵扥慤挲㌹搳挲搱㑡㜱愵晡㠲㥥㥥㤶㥥戱昵攵摢〶慥㙥㔲戵慤愸㐵㙡㘷搱㐳㈵ㅣ㌳晤㤶㈸ㄵ㘴改昸㌷㤶㘸㠵㌰ㅢ㑤敥㈳散〷〸捥昶昹㥤㤱昸搴攷㐴晥ㅥ㔴攷改㌸㠰㕥㥣㐷㥦愴㕦㑥戴挶敥㍣㤷㤲挷㑥昲㘸㐹ㅥ㈶搱搶换㜲ㅢ㤵㜰晣㌴㘹㡢摤㠲㘸捡㜲㍢㠴㜱换㠷㄰挸挳〰挱㥦㈷挹㔹捥攱扥㡥慢昳〸㝡㘱搹㈷改㤷ㄳ敤戱扢㥢攵㡢扣㉣㕦愸ㄲ㡥摦㔲ㅤ愱ㄴ㐴㔳㤶㍢㈱㡣㕢㍥㠶㐰ㅥ〷〸晥㥥㑡捥㜲㘷敥敢戰晣〵㝡㘱搹㈷改㤷ㄳ戹搸摤捤㜲㈳㉦换つ㔵挲昱攳慦㉢㤴㠲㘸捡㜲㌷㠴㜱换愷㄰挸ㅦ〰㠲㍦〰㤳戳摣㥤晢㍡㉣晦㠴㕥㔸昶㐹晡攵〴㝦㠲扡㔹晥攵㕦㠹㥦搶㡥扦攵㥦㔵挲昱㙢戵㈷㤴㠲㘸捡昲搵〸攳㤶㉤㠱㘱㌷〰㠸㕥攸㑡捥昲㌵搸挳㘹㌹ぢ㘲戰散㤳昴换㠹摥㄰㜵戳㝣挲换昲㤷㉡攱昸㜹摤〷㑡㐱㌴㘵㤹㍦慦戳搱㘴㔳っ㔰㌶〳㠸晥搸㑣捥㜲㍦ち㌸捥㜲㜳㠸挱戲㑦搲㉦㈷ち㈰敡㘶昹㘳㉦换㐷㔵挲昱㍣愰㄰㑡㐱㌴㘵㜹㈰挲㙣㌴搹ㄲ〳㤴慤〰㘲㌰㌶㤳戳㍣㠸〲づ换慤㈱〶换㍥㐹扦㥣ㄸ〲㔱㌷换㙦㜸㔹㍥愸ㄲ㡥〷ㄸ㐵㔰ち愲㈹换㝣㠰㤱㡤㈶㜳㌱㐰㤹〷㄰㈳戰㤹㥣攵攱ㄴ㜰㔸敥づ㌱㔸昶㐹晡攵挴㐸㠸扡㔹摥攳㘵㜹户㑡㌸㥥戸㡣㠲㔲㄰㑤㔹ㅥ㡤㌰ㅢ㑤昶挳〰㘵㝦㠰ㄸ㠳捤攴㉣㕦㐷〱㠷攵㐲㠸挱戲㑦搲㉦㈷慥㠷愸㥢攵慤㕥㤶户愸㠴攳ㄱㄱㅦっ〵搱㤴㘵㍥㈲捡㐶㤳愳㌰㐰㌹ㅡ㈰㡡戱㤹㥣攵㥢㈸攰戰㝣㍤挴㘰搹㈷改㤷ㄳ攳㈰敡㘶㜹㤵㤷攵㠷㔴挲昱㑣慢〴㑡㐱㌴㘵戹ㄴ㘱㌶㥡㉣挷〰攵㜸㠰攰㜳慤攴㉣㤷㔱挰㘱㜹㈲挴㘰搹㈷改㤷ㄳ攵㄰㜵戳扣挰换昲㍤㉡攱㜸〸㌷〱㑡㐱㌴㘵㤹て攱戲搱攴ㄴっ㔰㑥〵㠸㐹搸㑣捥昲㐴ち㌸㉣㑦㠷ㄸ㉣晢㈴晤㜲㈲っ㔱㌷换㌳扤㉣捦㔰〹挷㔳挳㉡㈸〵搱㤴㘵㍥㌵捣㐶㤳㜳㌱㐰㌹て㈰昸攴㌰㌹换㤳㈹攰戰㍣ㅦ㘲戰散㤳昴换㠹〸㐴摤㉣㠷扤㉣㑦㔲〹挷㘳捥ㄸ㤴㠲㘸捡㌲ㅦ㜳㘶愳挹攵ㄸ愰㝣〰㈰愶㘲㌳㌹换㔳㈸攰戰扣ㄲ㘲戰散㤳昴换㠹㘹㄰㜵戳㍣搶换昲つ㉡攱㜸㉥㍢ㅤ㑡㐱㌴㘵㤹捦㘵戳搱攴〶っ㔰㙥〴〸㍥㥢㑤捥㌲㥦敢㍡㉤㙦㠶ㄸ㉣晢㈴晤㜲攲㔶㠸扡㔹ㅥ攴㘵㜹愰㑡㌸ㅥ㈴捦㠲㔲㄰㑤㔹㥥㡤㌰ㅢ㑤敥挰〰攵㑥㠰戸〳㥢挹㔹扥㥤〲㡥戳扣ぢ㘲戰散㤳昴换㠹㌹㄰㜵戳㝣愵㤷攵ㅥ㍡㔱昷挹昷㕣㈸〵搱㤴攵㜹〸戳搱攴㍥っ㔰敥〷〸㍥晤㑥捥昲㕤ㄴ㜰㔸㍥〰㌱㔸昶㐹晡攵挴㝣㠸扡㔹㙥慢㥤搵㝤㐴搰㐶㈵ㅣ㡦敡ㄷ㐰㈹㠸愶㉣昳㔱㝤㌶㥡㍣㠴〱捡挳〰挱挷昵挹㔹㕥㐸〱㠷攵㈳㄰㠳㘵㥦愴㕦㑥㉣㠶愸㥢攵㡢扣㉣㕦愸ㄲ㡥戵㠵㈵㔰ち愲㈹换㕣㕢挸㐶㤳挷㌰㐰㜹ㅣ㈰戸扥㤰㥣攵晢㈹攰戰晣〵挴㘰搹㈷改㤷ㄳ换㈱敡㘶戹㤱㤷攵㠶㉡攱㔸っ㔹〱愵㈰㥡戲晣㈰挲㙣㌴㜹ち〳㤴㍦〰〴ㄷ㐴㤲戳扣㤲〲づ换㍦㐱っ㤶㝤㤲㝥㌹戱ち愲㙥㤶㝦昹搵敢昷戲㑡㌸㔶㙦ㅥ㠱㔲㄰㑤㔹㕥㡤㌰ㅢ㑤㕡愹㠰〶〰戱〶㥢挹㔹㝥㤴〲づ换㔹㄰㠳㘵㥦愴㕦㑥慣㠵愸㥢攵ㄳ㕥㤶扦㔴〹挷㜲搳㍡㈸〵搱㤴㘵㉥㌷挵㉤㌷愵攵㘶戴扣ㄱ㕤挹㔹摥㠰㍤㥣㤶㥢㈷㉣晢㈴愵㑦㑥㙣㠲愸㥢攵㡦扤㉣ㅦ㔵〹挷晡搸㘶㈸〵搱㤴攵㉤〸攳㤶㕢搲㜲㉢㕡收ㅡ㔹㜲㤶户㘲て愷攵搶〹换㍥㐹改㤳ㄳ㡦㐱搴捤昲ㅢ㕥㤶て慡㠴㘳㐱敦〹㈸〵搱㤴㘵㉥攸挵㉤攷搲㜲ㅥ㉤㜳㔱㉦㌹换㑦㘲て愷攵敥〹换㍥㐹改㤳ㄳ㑦㐳搴捤昲ㅥ㉦换扢㔵愲敥ち㘴晡づ㈸昹㉥戶㌴〰㈱㙢㔰㜵愸慣㕦愸ㄴ㙦㠳㌵㔰敦㠲㘵收攳㜱㍡搶愹㈲〱㉥愶攵攳㔱㍡ㄶㄴ愷㔴㤴搹㤱㑣㜶㡣挰扢㙥改㕣㠶戳攲ぢ㕣㔱慣〷愵愵㘴㘴㌴捣㜴慢㌵㐰㙢戵㜰㜹㤷㙥㠰㐳晦挴戰慥㝣㐴㠷㉦㠶㌴愰散挷㤳搳㥦㈷㘷㈷㌶改愷づ愱㠰㠴〱㈴散㌲〸㘷㈳捥捡㈲捡㐲ㄲ〶㤲戰捦㈰㈰搴㈵〶㤱㌰㤸㠴晤敥㠴㈱㈴っ㈵攱㠰㐱㌰㑡ㄴ㤱㌰㡣㠴㐳〶〱愱㉥㌱㥣㠴ㄱ㈴ㅣ㜶㈷㡣㈴攱㕡ㄲ㡥ㄸ〴愳挴㈸ㄲ㐶㤳㜰捣㈰㈰搴㈵慥㈳㘱っ〹挷摤〹搷㤳㜰〳〹㕦ㄸ〴愳挴㔸ㄲ㙥㈴攱㤴㐱㐰愸㑢摣㐴㐲㌱〹㍦戸ㄳ挶㤱㄰㈲攱㈷㠳㘰㤴㈸㈱愱㤴〴㑢戸㥥捤㌲ㄲ㙣ㄲㅡ戸ㄳ捡㐹ㄸ㑦㐲㤶㐱㌰㑡㑣㈰愱㠲㠴愶〶挱㜰㌱㤱㠴㐹㈴㌴㜳㈷㠴㐹愸㈴愱戹㐱㌰㑡㔴㤱㔰㑤㐲㑢㠳㘰㤴㤸㑣挲捤㈴戴㜲㈷㐴㐸㠸㤲搰摡㈰ㄸ㈵㘲㈴搴㤰㤰㙢㄰㡣ㄲ㔳㐸㤸㑡㐲㥥㍢㘱ㅡ〹戵㈴㜴㌷〸㐶㠹改㈴捣㈰愱㥦㐱㌰㑡捣㈴攱ㄶㄲ晡扢ㄳ㙥㈵攱㌶ㄲちつ㠲㔱㘲ㄶ〹戳㐹ㄸ㘵㄰㡣ㄲ户㤳㜰〷〹愳摤〹㜳㐸戸㤳㠴敢つ㠲㔱㘲㉥〹昳㐸㈸㌷〸㐶㠹扢㐸戸㥢㠴昱敥㠴昹㈴摣㐳挲㐴㠳㘰㤴㔸㐰挲扤㈴㑣㌱〸㐶㠹㠵㈴㉣㈲㘱慡㍢㘱㌱〹昷㤱㌰摤㈰ㄸ㈵㤶㤰戰㤴㠴戹〶挱㈸㜱㍦〹换㐸㤸攷㑥㔸㑥挲〳㈴捣㌷〸㐶㠹ㄵ㈴㍣㐸挲㜲㠳㘰㤴㔸㐹挲㐳㈴㍣攰㑥㔸㐵挲挳㈴慣㌴〸㐶㠹㐷㐸㔸㑤挲〶㠳㘰㤴㜸㤴㠴㌵㈴㙣㜴㈷慣㈵攱㑦㈴㙣㌶〸㐶㠹㜵㈴慣㈷㘱㠷㐱㌰㑡㙣㈰㘱㈳〹㍢摤〹㥢㐸昸㌳〹扢っ㠲㔱㘲㌳〹㕢㐸搸㘷㄰㡣ㄲ㕢㐹搸㐶挲㝥㜷挲㘳㈴㍣㑥挲〱㠳㘰㤴㜸㠲㠴敤㈴ㅣ㌲〸㐶㠹㈷㐹㜸㡡㠴挳敥㠴愷㐹㜸㠶㠴㈳〶挱㈸戱㠳㠴㥤㈴ㅣ㌳〸㐶㠹㘷㐹㜸㡥㠴攳敥㠴㕤㈴散㈶攱ぢ㠳㘰㤴搸㐳挲昳㈴㥣㌲〸㐶㠹ㄷ㐸㜸㤱㠴ㅦ摣〹㉦㤱昰㌲〹㍦ㄹ〴愳挴㉢㈴扣㑡㠲〵㜰戹晢晦㠵㠴扤㈴㌴㜰㈷散㈳㘱㍦〹㔹〶挱㈸昱ㅡ〹慦㤳搰搴㈰ㄸ㉥づ㤰㜰㤰㠴㘶敥㠴㌷㐸㜸㤳㠴收〶挱㈸昱ㄶ〹㙦㤳搰搲㈰ㄸ㈵摥㈱攱㕤ㄲ㕡戹ㄳ摥㈳攱㝤ㄲ㕡ㅢ〴愳挴㕦㐹昸㠰㠴㕣㠳㘰㤴㌸㐴挲㘱ㄲ昲摣〹ㅦ㤲昰ㄱ〹摤つ㠲㔱攲〸〹㐷〱㠱㝥〰㝥〲晤㜵㔰愰㠳〱㍡㈸㐴㘰㠱㘳㝤㡣㈰㤰摦扢昸㡣搷摣慤扦愱户㘱㜱攲挵㡥㤱㜸㡢挴晡㍢㍡ㅡㄷ㈷㕥㠴㑦㑣㉡慤晦㐲㔷㈳散ㄹ摦挴敢昲㔱敢ㄳ昴㌴㐱㡦昱攲㥡昵㈹晡捥㐶摦㤹㙦挳〷〶愲㥢昵㌳〵晥㈷〶攲㤴慣昸㑢攳㌲㠸㔰㝥㠶㡥挰㈰昶攲ㄳㄸ慣㠳㈱㍡ㄸ慡㠳㈲〴㔴㤱㜴㈱㌹㘸挹㠱㑡づ㑤㜲㌴㤲攵〳挳〰㜵㡡戵攲㕥㉤〹㕦㤱㌱ㅣ挰㑦㘰㠴づ㐶敡攰㕡ㅤ㡣㐲㐰ㄵ敢㙢〴捥㐳㜶ㄲ扤㘷ㅣ戲㙦搰㔱攷㤰㝤㡢慥㌳て搹晦愰愷敥㈱晢〷晡㕣づ搹㘸㜴搷㜱挱户㐰㘴㕢挲㈹㈴〳搷〱昸〹㡣搱挱昵㍡戸㐱〷㘳ㄱ㔰攵晦㌸㘴㌷㉡㥡㜱㝥㍡㜱慦㡥㠴搳㐸〶㙥搲㡡挵㍡ㄸ愷㠳㤰づ㌸㥦慣㐷㌱捥㌸敢㌸敢挶㍡㕤〹㤹昸㥤ㄱ㈸搳㡡㥣㝢昲ㄳ㈸搷挱㜸ㅤ㑣㐰㔰㡦㘲ㄵ㡡㘶㌸攳てㅡ搹㤳㜰㌶㡢㑤搴㡡㤳㜴㄰搶㐱愵づ慡㄰搴愳㔸戵愲ㄹ挵戸摡㉦晢㄰㥡戳搸㘴慤㜸戳づ㈲㍡㠸敡㈰㠶愰ㅥ挵㙡ㄴ捤㈸挶㜵㜶㔹㐸戸㥣挵愶㘸挵愹㍡㤸愶㠳㕡ㅤ㑣㐷㄰㉦挶换㕣昲慡㤶扣㤲㈵慦㕤挹换㔵昲晡っ捣〰㤰㘶ㄴㅢ挶㍡㐵㠴戶㉣㌶ㄳっ㝥〲户攸攰㔶ㅤ摣愶㠳㔹〸敡攱㙣戶愲ㄹ挵㐶㐳㔹㡥㈲㜴㘱㌱捥㔴昹〹㜰戶ㅡて收攸㠰搳搳㜸捦㕣〴昵㈸㌶㑦搱㡣㘲㕣搵㤵㕣改㤵㍤㔹散㉥慤㜸户づ收敢攰ㅥㅤ㉣㐰㔰㡦㘲昷㉡㥡㔱慣㤴㜵㑡〸晤㔹㙣愱㔶㕣愴㠳挵㍡戸㑦〷㑢㄰搴愳搸㔲㐵㌳㡡㜱㈵㔳㑥㈰ㄴ戱搸晤㕡㜱㤹づ㤶敢攰〱ㅤ慣㐰㄰㉦收㝦㠱㍣愸㘸㐶㌱慥㈱㑡慥㉢捡㌱㉣戶㔲㉢㍥愴㠳㔵㍡㜸㔸〷㡦㈰愸㐷戱搵㡡㘶ㄴ攳敡㥤攴㡡㥥㉣㘱戱㐷戵攲ㅡㅤ㜰㌲换㑦㠰ㄳ摡㜸戰づ㐱㍤づ㈳攷户愴ㄹ挵戸㙥㈶愷ㄳ㈶戱搸〶慤戸㔱〷㥢㜴昰㘷ㅤ㙣㐶㔰㡦㘲㕢ㄴ捤㈸㌶㥢㜵㘶ㄱ昸㕦ㅣ〳㕢戵攲㌶ㅤ㍣愶㠳挷㜵昰〴㠲㝡ㄴ摢慥㘸㐶戱㜹慣㌳㤷㜰ぢ㡢㍤愹ㄵ㥦搲挱搳㍡㜸㐶〷㍢㄰挴㡢昹㕦㈰㍢ㄵ捤㈸挶㔵ㅡ戹㈰㕥㤱挵㥥搵㡡捦改㘰㤷づ㜶敢㘰て㠲㝡ㄴ㝢㕥搱㡣㘲㕣ㅦ㤱㑢〸㡢㔸散〵慤昸愲づ㕥搲挱换㍡攰㝣户ㅥ㠷㤱㌳㘲搲㡣㘲㕣㤹㤰㕣慤㤰㉢㔸散㉦㕡㤱㜳㘳㝥〲晢㜴戰㕦〷慦㈱愸㐷戱搷ㄵ捤㈸挶㌵〱挹㜵〲戹㠶挵づ㘸挵㠳㍡㜸㐳〷㙦敡攰㉤〴昵㈸昶戶愲ㄹ挵昸㌴㕥慥㈳㙣㘶戱㜷戴攲扢㍡㜸㑦〷敦敢攰慦〸敡㔱散〳㐵㌳㡡昱㌹戸攴戳㜱昹ㄴ㡢ㅤ搲㡡㠷㜵昰愱づ㍥搲挱ㄱ〴昵㈸㜶㔴搱㡣㘲摢㔹㠷㑦愵攵ㅥㄴㄳ㥦㠱攱昶搸昷㥡㕦㍣㤶㜰慥㔶〹挷敢换㕦㜹㈸昵昰㔲敡慥ㄲ㡥户㠲㑦㜹㈸攵㝡㈹㜵㔱〹挷换戶愷㍤㤴㍡㜸㈹戵㔷〹挷㍢慣㥣戰戹ㅤ愷戶㕥㑡㙤㔴挲昱㙡㈸㘷㘳㙥㑡慤扣㤴㕡慡㠴攳㡤㑢㑥戵摣㤴㉥昳㔲捡㔶〹挷㡢㡣㥣㐷戹㈹㕤散愵㜴㤱㑡㌸摥て攴㈴挹㑤改〲㉦愵㘶㉡攱㜸敤㡥㌳㈰㌷愵㜳扤㤴捥㔱〹挷摢㙣㥣摥戸㈹㌵昱㔲㙡慣ㄲ㡥㤷挴㌸㜷㜱㔳㤲㕥㑡㤹㉡攱㜸昷㡡ㄳㄳ㌷愵㜴㉦愵㌴㤵㜰扣搲挴㔹㠷㥢搲改㥦㍤晥㠲晦愵ㄲ㡥㌷㠵㌸愵㜰㔳晡挹㑢改㐷㤵㜰扣㠰挳昹㠲㥢搲昷㕥㑡摦愹㠴攳扤ㄶ㑥〶摣㤴扥昱㔲㍡愹ㄳ㜵㕦ㄷ攱㥤摥㑤改㑢扤㐳摤户㌰扥㔰〹挷㕢ㄸ㜳㍤㤴㡥㜹㈹㝤慥ㄲ㡥㤷ㅢ㜸㡦㜶ㅢ搳愷㕥㑡㥦愸㠴昳㥤〱て愵㡦扤㤴㡥慡㠴㘳㈹㥥㜷㔷户㌱ㅤ昶㔲㍡愴ㄲ㡥ㄵ㙥摥㍡摤㤴摥昳㔲㝡㔷㈵ㅣぢ挷扣㉦扡㈹扤改愵昴㠶㑡㌸搶㘳㜹搳㜳㔳㝡捤㑢㘹扦㑡搴㕤收㙣昸扦敡㐷㌸戲</t>
  </si>
  <si>
    <t>㜸〱扤㕢〹㜴ㄴ㔵扡捥捤㔲挹つ㡢慤扥〱㐵ㅤ㍢㡡攰㘳挹㈳㙣〹愸〸〴ㄲ昶㐵㤰㠸㕢散㜴㉡㈴搰㐹㘳㜷〷挲愶攰〲㉥㈰ち挸攲㠶㍡㉣ち戸㈱㠲㈲㡥㍢㈸攲戸㠳〳捥搳㜹捦挱ㄱ㥤㌷㙦㡥づ捥愰愳昳㝤摤昷捥扢㔰换改㍥挷昳晡㥣晢昱搷晤扦晡晥晢㔵愵扢㙥搵㉤戲㐴㔶㔶搶㑦昸昰㕦㝥㜲ㄹ㥣㌹㘱㔶㍣㘱㌷ㄶ㤷㐷㈳ㄱ㍢㥣㘸㠸㌶挵㡢〷挵㘲愱㔹愳ㅡ攲㠹ㅣ㄰慣敡〶攴攳㜹搵昱㠶搹㜶㐱昵っ㍢ㄶ〷㈹㉦㉢慢愰㐰㘶㈳㝦扡㙡〱扤㈱戹㤷捣㈵㠰㤵㈵㉤㐲㍥愱㠰㈰〹㠵㠴㔶㠴搶㠴㌶㠴戶㠴㤳〸〱挲挹㠴㔳〸愷ㄲ晥㡤昰ぢ㐲㍢㐲㝢挲㘹〴搶㤷ㅤ〸㘷〰㕡㥦〹㤸㔸㍥㜸㙣捤㔴戸㤹㤰㠸挶散㙥挱㐹愹㌱㕦㔴㔲㔲㕣㔲摣慢戴㐷㔹㜱㡦㙥挱昲收㐸愲㌹㘶㕦搴㘴㌷㈷㘲愱㐸户攰戸收㥡㐸㐳㜸愴㍤㙢㘲㜴㥡摤㜴㤱㕤搳愳㔷㑤愸㜷㔹㐹敦㍥㝤敡晡昵㉢㙢㝤ㄶ㤴挷㤴てㅥㄷ戳敢攲㍦㤷收㉦愹㌹戶㝣㜰昱ㄸ㍢昱㜳㘹㥥つ㑤㐸づ㠹㌶㠶ㅡ㥡㝥㈶搱㍣㥥搳㤲㈱㜶戸㠱㈷摦戶㘳つ㑤㔳㡡㌱散攳づ㌴戶㑡㡢挱㤹ㄴ㡡㤵摢㤱挸㈵㜶ㅤ㑦㜸摢挶㑢攳㜶㜹㜳㍣ㄱ㙤ㅣㄳ㙡戴㕢㌷昲〰摡㌱扢㈹㙣挷摢㌶づ㙤〹摢ㄱ挵㡥ㄷ㌴㘲㔷㤲㜲ㄹ㥣搴㤸㍡㠹挳㙢敤愶㐴㐳㘲㔶ㅢち㕤ㄲ㙡㥡㘲㤳㤲搷㔸搹摣㔰㥢㤵㥢㉢㜲㜳戳㜲挴㜹㙥㘳㑢㥥㉡㌵愲㘴捣㔳㤸㤶㡢攳㠶挵㍦愹㜳㑦搰攷㌹ㅢ㍢㍤㌱搲㡥㌵搹ㄱ㔵㠲㈷戳敢〹扣攴㌱㑡㥤㡡㝦ㅤ㉣㙤㠸㈷㑡戴㔲摦㍦扡㘱愱㉣ㄹ㈴ㄴ〱慣㜳〰戹㐳㝢昵㈸㤳攷戲慦㈳㐰攴ㅥ挲㌷搸摣㠹摦愲散敡㔰㜶㜵㑤㜶㜵㌸扢扡㌶扢摡捥慥慥换慥㥥㤲㕤㕤㥦㕤摤㤰㕤㍤㌵扢㝡ㅡ㌸晡㔳㤰㥦㥦慤㍥㘷つ戹㌹㜱攳扢㌷㡦㥤扦昸㥤户㥥敥昳改戹㠲㕦㕡㥥改㉣搹㠹搰ㄹ㘰㥤て挸ㅤ摡戳㕦㤹晣㜷昶㜵〱〸昱ㄱ〶挱㠱㕣㝤搷㙢户㥣摥㔲㔵㜹㐷敥〷㠱晡㐷㜷㝦㈹昸㡤㑦㈹㜴㈳扢㍢挰㉡〶㐰愱慣㥦晣て昶昵〰〸昱㡥㔲攸㜹㑤晦㡡慡敢〳攵㌷っ搸㝡㔲攴挹昳晥㈲昸㜳㤱㔲攸㐹㜶㉦㠰搵ㅢ㐰㠵㌲搹㠷㝤㝤〱㐲扣愹ㄴ捡㝡捣㙤晡摢搹攵挳㤷扥㍤㘲㜳慦㡢扡㐶〴㝦㙢㔲ち㘵㘴昷〳㔸晤〱㔴攸㈵㉦㘰摦㠵〰㈱㕥㔵ち㠷晢捥㍦昴㐲挷つ愳㙥晣㘶攵晡挹搷搶㙤㄰晣扢㑤㈹っ㈰晢㘲㠰㌵㄰㐰㠵ㄲ㌹㠸㝤㠳〱㐲扣愰ㄴ㍥づ戵㝡改搱捦㍦ㅡ扡敢慢㡤㥤昲晡㜵㌹㑢昰㔷㉥愵㌰㠴散愱〰慢〲〰㠵搲㝥戲㤲㝤挳〰㐲散㔰ち攱戲㈵㜳愶ㄶ捤㉢扦㘵昶愶㈵㥢挲㥦戶ㄲ晣㠹㑣㈹㡣㈰㝢㈴挰ㅡ〵攰ㅦ㐴㑦㌹㥡㝤㘳〰㐲㍣愵ㄴ攴昲㌹㥢㉢昷㤵づ摣㜰搶户慢扥戹晦攵㈳㠲㝦ㄹ㈹㠵㜱㘴㡦〷㔸㤷〰愸搰㕢㑥㘰摦㐴㠰㄰㥢㤵挲晣㔸户㤲㈹㘷㔷っ㝦晣扦㉦戸敦攰つ㠳晥㈱昸攳㥣㔲㤸㐴㜶ㄵ挰扡っ挰攳搰㔷㑥㘶摦攵〰㈱搶㉢㠵ㅥ攷敤慡ㅡ㜰昸晤挱㙢㝡ㄶ慣㉦㝣㘷㝡㠹攰㉦㝢㑡攱㑡戲慦〲㔸㔷〳愰搰慦㐴㔶戳敦ㅡ㠰㄰㙢㤵㐲搳㜳㘳ㄲ㔳㕥〹て㝦收㔷㈳㡢摥摣昹摣㑢㠲㤷㠵㤴㐲つ搹㘱㠰㔵ぢ㠰㡢㤲扥搲㘶㕦ㅤ㐰㠸㌵㑡愱㌱晦攱㡡㥢愲晦㌵昴收扢慡昶慣㔸搱扤㔰昰㥡㤲㔲愸㈷扢〱㘰㑤〵㐰愱㘷㙦挹敦㠶㡣〰㠴㔸慥ㄴ㠲㤷收㔷㑣㕣㕡㌲收改㜳て慥摤㌸㜷㝤㉢挱ぢ㔲㑡愱㠹散㈸挰㥡づ攰㤱散㈱慦㘵㕦っ㈰挴ㄲ愵㄰㕢昰㙥换戲扣敤㈳㕥㝣昱搵愷㙥捦㙥㝦㤷攰搵㉣愵㤰㈰扢ㄹ㘰捤〰昰㌸昴㤴㌳搹搷〲㄰㘲㤱㔲㈸ㅤ㝡㜷㤷搷换㥦ㅤ扤晤㉦ㅢ㘶㕦晣敥㤷㍤〴㉦㠵㈹㠵搹㘴捦〱㔸㜳〱㍣づ愵㜲ㅥ晢慥〳〸戱㐰㈹㡣て攷㝤扢扢㙣㑥挵戶㝤敤昶㕦ㅦ㜹㝤㡡攰㜵㌴愵㌰㥦散〵〰敢〶〰捦㘶㙦㜹㈳晢㙥〲〸㌱㐷㈹㜴㤹㌰敦敦摦昴敥㌴㜸㔵㤷摡攷挵慢㘷搷〹㕥㠴㔳ちぢ挹㕥〴戰㙥〱昰㌸㤴捡㕢搹㜷ㅢ㐰㠸㘶愵㜰昵扡挷扦晣㥦㘳㕢挷㉥㔹㌷扢㝥㘰昶〳㡦〹㕥挱㔳ち㡢挹㕥〲戰敥〰昰㌸昴㤵㑢搹㜷㈷㐰㠸愸㔲愸ㅢ㙡慤ㅦ扡改㠷昲㘵昱㈱敦㍦㤱㜷戸愳攰攵㍦愵戰㡣散攵〰㙢〵㠰ち㍤攴摤散㕢〹㄰愲㐱㈹㌴〵晢慣搹㌲戳换搰搵搷㑦晢敥捦攱搷敦㄰㥣㍢愴ㄴ㔶㤳扤〶㘰摤〳㠰㐲㘹㤹扣㤷㝤昷〱㠴〸㉢㠵敦〳㕢㝢〶晥昸㙡攵敤ㄵ攷㔷㉤㍦㉦摣㔱㥣㠶㜴㑡攱〱戲搷〲慣〷〱ㅣ㐳愹㝣㠸㝤て〳㠴戸㑡㈹捣扢昳挳㕥换㝦户㙣搸慤㐷㍦㜹昷挱扤㉤㔲㜰搶㤲㔲㔸㐷昶㝡㠰戵〱㐰㠵㍥㜲㈳晢ㅥ〱〸㔱愵ㄴ㙡㍦㍣㘵摥㌳戹㘷っ摣昶㙤愸昷攲ㅦ㑡ㅡ㐴〷愴㔳ち㥢挸摥っ戰戶〰愸搰㑢㍥挶扥挷〱㐲㡣㔷ち㥦㔵っ㔸搸攷挷昷换ㄷ摦扦昴敥晥〵敢昷〹捥㤷㔲ち㑦㤲晤ㄴ挰摡ち㠰㐲㔹ㅦ昹㌴晢戶〱㠴ㄸ愹ㄴ㝡晥昵㡡㈱搷㕤晣㙤攵㡡改愵〷扢㔶㥥㌶㍥㉦㠸㜴㝡㔷㕥ぢ捣㘰㜹㝤㌴㙥㌷㈵慦挴㕤ㅢ挷㌵㠴愷搹戱〹㌶㘷㥤㜶敤㠴㐴㈸㘱晦挲㤸ㅡ㜴ㅤ摢㔴㕥捦㡢㝤敤㌹㘶㙦摤搰㤶㠴摤㔴㙢搷㡥㡢㐵愷摢戱挴慣㠹愱㥡㠸摤敥㌸捡㈰㑣㘳㘷搸㐸㥣㝥㕣㜷㐵㌴摣ㅣ㉦㡦㌶㈵㘲搱挸昱㤹㐱戵㌳㐲㤸㡥搴㡥㡥搶摡㔹㌹㌹㐲㘴㘵㥦慡㉥换㐳㘷㘰昲㌱㉣搴㔴ㅢ戱㘳扥㔳㘵挱戹㠵㔵㠸㑦㔶ㅥ㉦摥㤹㑦㌳戲戱㤷㑣捥㙡㌰〷㡤攷㌵㔶㐴㘳昱㥣ㅣ户愲挳㐲昱晡〴㝤晢㈷愹户㥤戰〳㤰㜷㉥㈰㥤㔹っ晦㌲㐵㐸搴㠸戰愸ㄵ㜶㝥㈳㘶㌹愳愷挴昲㤲㤳户扣挶㈱㜶㍣㉣㌹㍢ㅢ㡥㤳搰㘲㈱㡡㌴㘳㑥挷挳㙡户㈴㠶㠴ㄲ愱晣挶㜱㈱捣敥ㄲ㙤戱㈳㜸㕤㤵㐰㙢扤㤹㥣〴敡つ捡〵昴㠶㔶㙤昳㝦ㅤ㄰㍦㔵㙦ㄹ㌵晥愵㥤㉡㈵㤳㜵㈸㥣㡡愸摡㈶搹愷㈵ぢ搵ㄶ昴〲挹搰㄰㙢㤵散㐸㈹挱㍢晥晥昱〷㤰㤵㠳㤹㘵昲㥦ㄴ㕡晣昸ㅦ㍥㡣ㄳ〷敡㤷㄰㈸戰㝣㑦㑣挷ㄳ收㠸挹戹㘴戸收搲㐴㐳㈴㕥㡣挱㔴挶愲捤搳愹昳晦㕤敦攷ㅡ㌷挷㥥晡晣敤㈷晦㝦㍦㝢戱㔰㥥〳㡡昵ㅣ㜹昸㤹㔱㝣晣搱敥㐴㐷㘱㉡㉢㤹㜵㈶㤳㝢㝡攴昲㍡㘲㤷㑣㈶攳㥣戸戶㙥ㅣㅢ慥㤹ㄸ戳㤳㌷ㄸ〵挹㡤㔹搳敤㌶㡤㔵搱搸戴㥡㘸㜴ㅡ晦挲摡㈶户攲昵戶㥤攰㤴扤㤵扡㐹㘱㉣㠴挸挹㌹㙥㙡㙥捣敤捦㠶扥昵㌲愰捤愰㐸㈴愸ㄵ攳搶㉢散挷ㅦ〴捥扢昵㉡攲㕥愳㐳攱㔸戴㍢敥㕣挳昵愱㜸愲㈱摣㝤㜸搳昴收㐴扣㝢㌸摡㌸㍤㘲㈷散敥㑤㜶㘲㈶〶搴扤ㄱ扦㔶㤱攲㤶㐸扣㔱㕣愸㝥愰㘷攷攴收㙤㜹昹晡㤱㙢摢㌶㍤㌶慥㘳㜶㙦㜱㠱㑡㌸㘶晡㥤㔰㉡挸搲挹㕦㉣搱ㄹ㘱ㄱ㥡摣㑤搸〳㄰㥣敤昳㌷㈳昵㐹攷㐴㥥て慡昳㜴散㐵㉦捥愳㑦搲㉦㈷扡㘰㜷㥥㑢挹㘳㈷㜹戴㈴て㤳攸收㘵戹慢㑡㌸㙥㑤扡㘱户㈰㥡戲摣ㅤ㘱搲昲㝥〴昲〰㐰昰昶㈴㌳换挵摣搷昱搷㜹㄰扤戰散㤳昴换㠹ㅥ搸摤捤昲㤹㕥㤶捦㔰〹挷扤㔴㑦㈸〵搱㤴攵㕥〸㤳㤶て㈳㤰㕦〰〴敦愷㌲戳摣㥢晢㍡㉣ㅦ㐱㉦㉣晢㈴晤㜲愲㉦㜶㜷戳摣摡换㜲㉢㤵㜰摣晣㤵㐱㈹㠸愶㉣昷㐳㤸戴㝣ㄴ㠱晣づ㈰㜸〳㤸㤹攵晥摣搷㘱昹ㄸ㝡㘱搹㈷改㤷ㄳ扣〵㜵戳晣挳㡦愹㕢㙢挷㜷昹㝢㤵㜰摣慤づ㠰㔲㄰㑤㔹扥ㄸ㘱搲戲㈵㌰散㝣㠰ㄸ㠴慥捣㉣て挴ㅥ㑥换㠵㄰㠳㘵㥦愴㕦㑥っ㠶愸㥢攵慦扤㉣㝦愵ㄲ㡥摢敢㈱㔰ち愲㈹换扣扤㉥㐲㤳敤㌰㐰搹ㅥ㈰㉡戱㤹㤹攵ちち㌸捥㜲〷㠸挱戲㑦搲㉦㈷㠶㐱搴捤昲㈷㕥㤶て愹㠴攳㜹挰〸㈸〵搱㤴攵㤱〸㡢搰㘴㈷っ㔰㜶〶㠸搱搸捣捣昲㈸ち㌸㉣㜷㠱ㄸ㉣晢㈴晤㜲㘲っ㐴摤㉣敦昳戲晣㤶㑡㌸ㅥ㘰㡣㠳㔲㄰㑤㔹收〳㡣㈲㌴搹ㄷ〳㤴愵〰㌱〱㥢㤹㔹扥㠴〲づ换晤㈱〶换㍥㐹扦㥣㤸〸㔱㌷换扢扣㉣㍦慦ㄲ㡥㈷㉥㤳愰ㄴ㐴㔳㤶慢㄰ㄶ愱挹ちっ㔰㔶〲挴㘴㙣㘶㘶昹㌲ち㌸㉣㡦㠰ㄸ㉣晢㈴晤㜲攲㜲㠸扡㔹摥攲㘵㜹戳㑡㌸ㅥㄱ昱挱㔰㄰㑤㔹收㈳愲㈲㌴㌹〹〳㤴㔵〰㔱㡤捤捣㉣㕦㑤〱㠷攵换㈱〶换㍥㐹扦㥣戸〶愲㙥㤶敦昳戲㝣慦㑡㌸㥥㘹搵㐰㈹㠸愶㉣㠷ㄱㄶ愱挹㍡っ㔰㑥〱〸㍥搷捡捣㜲㉤〵ㅣ㤶愷㐲っ㤶㝤㤲㝥㌹㔱〷㔱㌷换㡢扤㉣摦慥ㄲ㡥㠷㜰昵㔰ち愲㈹换㝣〸㔷㠴㈶㘷㘰㠰㜲㈶㐰㑣挳㘶㘶㤶愷㔲挰㘱㜹㌶挴㘰搹㈷改㤷ㄳㄱ㠸扡㔹㥥敢㘵㜹㡥㑡㌸㥥ㅡ㌶㐱㈹㠸愶㉣昳愹㘱ㄱ㥡㕣㠸〱捡㐵〰挱㈷㠷㤹㔹㥥㑥〱㠷攵摢㈰〶换㍥㐹扦㥣㠸㐱搴捤㜲挴换昲㌴㤵㜰㍣收㑣㐰㈹㠸愶㉣昳㌱㘷ㄱ㥡㕣㠹〱捡㔵〰㌱ㄳ㥢㤹㔹㥥㐱〱㠷攵㝢㈰〶换㍥㐹扦㥣㘸㠱愸㥢攵㉢扤㉣㕦愱ㄲ㡥攷戲戳愱ㄴ㐴㔳㤶昹㕣戶〸㑤㙥挰〰攵㐶㠰攰戳搹捣㉣昳戹慥搳昲㈶㠸挱戲㑦搲㉦㈷慥㠳愸㥢攵㔱㕥㤶㐷慡㠴攳㐱昲㝣㈸〵搱㤴攵〵〸㡢搰攴㜶っ㔰敥〰㠸ㅢ戱㤹㤹攵ㅢ㈸攰㌸换㍢㈱〶换㍥㐹扦㥣戸〹愲㙥㤶㉦昴戲㝣㠱㑡㌸㥥㝣㉦㠴㔲㄰㑤㔹㕥㠴戰〸㑤敥挶〰攵ㅥ㠰攰搳敦捣㉣摦㐲〱㠷攵扤㄰㠳㘵㥦愴㕦㑥摣〶㔱㌷换摤扣㉣㜷㔵〹挷愳晡挵㔰ち愲㈹换㝣㔴㕦㠴㈶昷㘳㠰昲〰㐰昰㜱㝤㘶㤶敦愰㠰挳昲㐱㠸挱戲㑦搲㉦㈷敥㠴愸㥢攵㌳扤㉣㥦愱ㄲ㡥戵㠵㘵㔰ち愲㈹换㕣㕢㈸㐲㤳㠷㌱㐰昹〵㐰㜰㝤㈱㌳换㉢㈸攰戰㝣〴㘲戰散㤳昴换㠹㤵㄰㜵戳摣摡换㜲㉢㤵㜰㉣㠶慣㠶㔲㄰㑤㔹㕥㠳戰〸㑤ㅥ挵〰攵㜷〰挱〵㤱捣㉣摦㐳〱㠷攵㘳㄰㠳㘵㥦愴㕦㑥摣〷㔱㌷换㍦晣挳敢㝥㔹㈵ㅣ慢㌷て㐰㈹㠸愶㉣慦㐵㔸㠴㈶慤㙣㐰㍥㐰㍣㠴捤捣㉣㍦㐸〱㠷攵㐲㠸挱戲㑦搲㉦㈷ㅥ㠶愸㥢攵慦扤㉣㝦愵ㄲ㡥攵愶㜵㔰ち愲㈹换㕣㙥㑡㕡㙥㐷换敤㘹㜹㈳扡㌲戳扣〱㝢㌸㉤㜷㐸㔹昶㐹㑡㥦㥣㜸〴愲㙥㤶㍦昱戲㝣㐸㈵ㅣ敢㘳㥢愰ㄴ㐴㔳㤶㌷㈳㑣㕡敥㐴换㥤㘹㤹㙢㘴㤹㔹摥㠲㍤㥣㤶扢愴㉣晢㈴愵㑦㑥㍣づ㔱㌷换晢扣㉣扦愵ㄲ㡥〵扤㈷愱ㄴ㐴㔳㤶戹愰㤷戴摣㤷㤶㑢㘹㤹㡢㝡㤹㔹摥㡡㍤㥣㤶晢愷㉣晢㈴愵㑦㑥㙣㠳愸㥢攵㕤㕥㤶㥦㔷㠹ㄳ㔷㈰㜳户㐳挹㜷戱㈵ㅦ㠴挲㔱搱㔰㙤㐵㈸㡣户挱昲搵扢㘰〵攵㜸㥣㡥㜵慡㔸㠰㡢㘹攵㜸㤴㡥〵挵ㄹつ戵㜶慣㠰ㅤㄳ昰慥㕢㉥㤷攱慣攴〲㔷ㅣ敢㐱㌹㔹㜹㜹慤ち摣㙡つ搷㕡ㅤ㕤摥愵ㅢ敥搰晦㝡㝣ㄹㅦ搱攱㠷㈱〷㈸㉢㜸㜲㉡㜹㜲㜶㘰㤳㝥㑥㈰っ㈳㘱㌸〹㍢つ挲挹㠸ぢぢ㠹㜲〴〹㈳㐹搸㙤㄰㄰敡ㄲ愳㐸ㄸ㑤挲ㅥ㜷挲ㄸㄲ挶㤲戰搷㈰ㄸ㈵挶㤱㌰㥥㠴晤〶〱愱㉥㜱〹〹ㄳ㐸㌸攰㑥㤸㐸挲愵㈴ㅣ㌴〸㐶㠹㐹㈴㔴㤱㜰搸㈰㈰搴㈵㉥㈳㘱㌲〹㕦戸ㄳ㉥㈷攱ちㄲ㡥ㄸ〴愳挴㤵㈴㕣㐵挲㔱㠳㠰㔰㤷戸㥡㠴㙡ㄲ扥㜳㈷㕣㐳㐲㠸㠴㘳〶挱㈸㔱㐳㐲㤸〴㑢戸㥥捤㕡ㄲ㙣ㄲ昲摤〹㜵㈴㑣㈱愱搰㈰ㄸ㈵敡㐹㘸㈰愱㥤㐱㌰㕣㑣㈵㘱ㅡ〹敤摤〹ㄱㄲㅡ㐹攸㘰㄰㡣ㄲ㑤㈴㐴㐹攸㘴㄰㡣ㄲ搳㐹戸㤶㠴捥敥㠴ㄸ〹㜱ㄲ扡ㄸ〴愳㐴㠲㠴㘶ㄲ晡ㅡ〴愳挴っㄲ㘶㤲㔰敡㑥㘸㈱㘱ㄶ〹晤つ㠲㔱㘲㌶〹㜳㐸愸㌰〸㐶㠹戹㈴捣㈳愱搲㥤㜰ㅤ〹搷㤳㌰挲㈰ㄸ㈵收㤳戰㠰㠴㐹〶挱㈸㜱〳〹㌷㤲㔰攵㑥戸㠹㠴㥢㐹戸摣㈰ㄸ㈵ㄶ㤲戰㠸㠴㍡㠳㘰㤴戸㠵㠴㕢㐹㤸攲㑥戸㡤㠴摢㐹㤸㙡㄰㡣ㄲ㡢㐹㔸㐲挲っ㠳㘰㤴戸㠳㠴愵㈴捣㜴㈷摣㐹挲㕤㈴捣㌶〸㐶㠹㘵㈴㉣㈷㘱愱㐱㌰㑡慣㈰攱㙥ㄲㄶ戹ㄳ㔶㤲戰㡡㠴摢っ㠲㔱㘲㌵〹㙢㐸㔸㘹㄰㡣ㄲ昷㤰㜰㉦〹慢摣〹昷㤱㜰㍦〹昷ㄸ㠴㜶㤰㔰扦戴て㤰戰㤶㠴つ〶挱㈸昱㈰〹て㤱戰搱㥤昰㌰〹扦㈲㘱㤳㐱㌰㕣慣㈳㘱㍤〹摢つ㠲㔱㘲〳〹ㅢ㐹搸攱㑥㜸㠴㠴㐷㐹搸㘹㄰㡣ㄲ㥢㐸搸㑣挲㙥㠳㘰㤴搸㐲挲㘳㈴散㜱㈷㍣㑥挲ㄳ㈴散㌵〸㐶㠹㈷㐹㜸㡡㠴晤〶挱㈸戱㤵㠴愷㐹㌸攰㑥搸㐶挲㌳㈴ㅣ㌴〸㐶㠹敤㈴散㈰攱戰㐱㌰㑡㍣㑢挲㜳㈴㝣攱㑥搸㐹挲昳㈴ㅣ㌱〸㐶㠹㕤㈴扣㐰挲㔱㠳㘰㤴昸㌵〹㉦㤲昰㥤㍢攱㈵ㄲ㕥㈶攱㤸㐱㌰㑡扣㐲挲慢㈴㔸〰㤷慢晦㙢㈴扣㑥㐲扥㍢㘱㌷〹㝢㐸㈸㌴〸㐶㠹㌷㐸㜸㤳㠴㜶〶挱㜰戱㤷㠴户㐸㘸敦㑥搸㐷挲摢㈴㜴㌰〸㐶㠹摦㤰昰づ〹㥤っ㠲㔱攲㕤ㄲ摥㈳愱戳㍢攱㝤ㄲ㍥㈰愱㡢㐱㌰扥㝡ㅦ㤲昰ㄱ〹㝤つ㠲㔱㘲㍦〹〷㐸㈸㜵㈷㝣㑣挲㙦㐹攸㙦㄰っㄷ〷㐹㌸〴〸㔴〰昸〹㔴敡㘰㤸づ㠶敢㘰〴〲ぢㅣ敢ㄳ〴㠱昲挱搵挷扤收㙥晤づ扤慤慡㔳㉦㜶㑣挴㕢㈴搶㝦愲愳㑤㜵敡㐵昸搴愴搲晡ㄴ㕤慤戱㘷㜲ㄳ慦换挷慤捦搰搳ㄶ㍤挶㡢㙢搶敦搱㜷㌲晡㡥㝦ㅢ㍥㌰ㄲ摤慣㕦㈰昰㍦㌱㄰㘷ㄵ㈶㕦ㅡ㤷㐱㠴昲㜳㜴〴㐶戱ㄷ㥦挰㘸ㅤ㡣搱挱㔸ㅤ㡣㐳㤰㜴昱〷〴㑥ㄷ㠷搱㝢㥣㡢㉦搰㜱㠲㡢㍦愲敢㜸ㄷ㕦愲攷㐴ㄷ㐷搰攷攲㘲㍣扡㑦㜰搱ㄹ㐳㑥扤㝦晥㈷㈴〳㤷〰昸〹㑣搰挱㐴ㅤ㕣慡㠳㐹〸愸㈲改㐲㜲搰㤲〳㤵ㅣ㥡攴㘸㈴换〷慡〰㈷ㄴ攳㕢㈰戲ㅢ攱㈸ㄹ㤷〱昸〹㑣搶挱攵㍡戸㐲〷㔷㈲㐸愳搸㔵㡡㘶㥣㥦㕥㔰㤶㍤〹㍦㈱ㄹ戸㕡㉢㔶敢攰ㅡㅤ㠴㜴挰昹㘴ㅡ挵㌸攳㍣挱㔹㍦搶㈹㈳ㄴ攰㍥㈳㔰慢ㄵ㙤ㅤ搴改㘰㡡づ敡ㄱ愴㔱慣㐱搱っ㘷扣愱㤱〳〸㈷戳搸㔴慤㌸㑤〷ㄱㅤ㌴敡愰〹㐱ㅡ挵愲㡡㘶ㄴ攳㙡扦ㅣ㐲攸挰㘲搳戵攲戵㍡㠸改㈰慥㠳〴㠲㌴㡡㌵㉢㥡㔱㡣敢散㜲〴攱㕣ㄶ㥢愱ㄵ㘷敡愰㐵〷戳㜴㌰ㅢ㐱戲ㄸ㝦ㄹ㈴㝦〸㈴扦晣㤲㕦㜷挹㙦戸攴㔷㍡㌰〷㐰㥡㔱㙣㍣敢㡣㈳㜴㘳戱戹㘰昰ㄳ㤸愷㠳敢㜴㜰扤づ收㈳㐸挳搹〲㐵㌳㡡㔵㐱㔹㑥㈲昴㘱㌱捥㔴昹〹㜰戶㥡っ㙥搲挱捤㍡㔸㠸㈰㡤㘲㡢ㄴ捤㈸挶㔵㕤挹㤵㕥㌹㠰挵㙥搱㡡户敡攰㌶ㅤ摣慥㠳挵〸搲㌸㡣㑢ㄴ捤㈸ㄶ㘶㥤ㅡ㐲㈵㡢摤愱ㄵ㤷敡攰㑥ㅤ摣愵㠳㘵〸搲㈸戶㕣搱㡣㘲㕣挹㤴昵㠴㜱㉣戶㐲㉢摥慤㠳㤵㍡㔸愵㠳搵〸搲㌸㡣㙢ㄴ捤㈸挶㌵㐴挹㜵㐵㌹㤹挵敥搱㡡昷敡攰㍥ㅤ摣慦㠳〷㄰愴㔱㙣慤愲ㄹ挵戸㝡㈷戹愲㈷㙢㔸散㐱慤昸㤰づ㌸㤹攵㈷挰〹㙤㌲㔸㠷㈰㡤挳戸㕥搱㡣㘲㕣㌷㤳戳〹搳㔸㙣㠳㔶摣愸㠳㐷㜴昰愸づ㌶㈱㐸挳搹㘶㐵㌳㡡㉤㘰㥤昹〴晥ㄷ挷挰ㄶ慤昸㤸づㅥ搷挱ㄳ㍡㜸ㄲ㐱ㅡ捥㥥㔲㌴愳搸㈲搶㔹㐸㤸挷㘲㕢戵攲搳㍡搸愶㠳㘷㜴戰ㅤ㐱ㅡ捥㜶㈸㥡㔱㡣慢㌴㜲㜱戲㈲㡢㍤慢ㄵ㥦搳挱㑥ㅤ㍣慦㠳㕤〸搲㈸昶㠲愲ㄹ挵戸㍥㈲㤷ㄱ㤶戲搸慦戵攲㡢㍡㜸㐹〷㉦敢㠰昳摤㌴㡡㜱㐶㑣㥡㔱㡣㉢ㄳ㤲慢ㄵ㜲㌵㡢扤愶ㄵ㕦搷挱㙥ㅤ散搱挱ㅢ〸搲㈸昶愶愲ㄹ挵戸㈶㈰戹㑥㈰ㅦ㘲戱扤㕡昱㉤ㅤ散搳挱摢㍡昸つ㠲㌴㡡扤愳㘸㐶㌱㍥㡤㤷敢〸㥢㔸散㕤慤昸㥥づ摥搷挱〷㍡昸㄰㐱ㅡ挵㍥㔲㌴愳ㄸ㥦㠳㑢㍥ㅢ㤷㑦戳搸㝥慤㜸㐰〷ㅦ敢攰户㍡㌸㠸㈰㡤㘲㠷ㄴ捤㈸昶ㄴ敢昰愹戴摣㠵㘲攲㜳㌰摣ㅥ晢づ晣挱㘳〹攷㘲㤵㜰扣扥晣㈷て愵ぢ扣㤴晡慢㠴攳慤攰愳ㅥ㑡㝤扤㤴晡愸㠴攳㘵摢㥦㍣㤴㑡扣㤴㝡愸㠴攳ㅤ㔶㑥搸摣㡥㔳㌷㉦愵慥㉡攱㜸㌵㤴戳㌱㌷愵捥㕥㑡㥤㔴挲昱挶㈵愷㕡㙥㑡攷㜸㈹ㄵ愹㠴攳㐵㐶捥愳摣㤴捥昲㔲㍡㔳㈵ㅣ敦〷㜲㤲攴愶㜴㥡㤷㔲㝢㤵㜰扣㜶挷ㄹ㤰㥢搲愹㕥㑡愷愸㠴攳㙤㌶㑥㙦摣㤴摡㝡㈹戵㔱〹挷㑢㘲㥣扢戸㈹㐹㉦愵〲㤵㜰扣㝢挵㠹㠹㥢㔲慥㤷㔲㡥㑡㌸㕥㘹攲慣挳㑤改愷敦㍤扥挱㍦慡㠴攳㑤㈱㑥㈹摣㤴㡥㜹㈹晤㕤㈵ㅣ㉦攰㜰扥攰愶昴㔷㉦愵㙦㔵挲昱㕥ぢ㈷〳㙥㑡晦敢愵昴㘷㤵㜰扣㉥挲㉢扤㥢搲㔷㕥㑡㐷㔴挲昱ㄶ挶㐲て愵挳㕥㑡㝦㔰〹挷换つ扣㐶扢㡤改昷㕥㑡㥦愹㠴昳㥤〱て愵㑦扣㤴づ愹㠴㘳㈹㥥㔷㔷户㌱ㅤ昰㔲摡慦ㄲ㡥ㄵ㙥㕥㍡摤㤴摥昷㔲㝡㑦㈵ㅣぢ挷扣㉥扡㈹扤敤愵戴㑦㈵ㅣ敢戱扣攸戹㈹扤攱愵戴㐷㈵㑥㕣收㙣昵㑦㐱ㅣ㄰㥣</t>
  </si>
  <si>
    <t>㜸〱扤㕢〹㜴ㄴ㔵扡捥捤㔲挹つ㡢㐱㥦愰〸摡㐱〶㤴㈵㈶散㡢愲㤰㄰㈰散戲㈹愲㌱改㔴㐸愰㤳㘰㜷㠷搵〵㄰㐱㄰㕣ㄱ㘵ㄱ㠴㘱ㅢ㐰ㄴㄷㄸ〱㜷〵㐵搴㜱〳〵㝤攲㍣㐷㥥愸㑦攷㥤㜹㌰愲㌳扥敦敢扥㜷摥㠵㕡㑥昷㌹㥥搷攷摣㡦扦敥晦搵昷摦慦慡㔳㜵扢㙥㤱㈲㔲㔲㔲㝥挵㠷晦昲㤳捥愰挵愸ㄹ㤱愸㕤㤳㔷㔸ㄷち搹挱㘸㜵㕤㙤㈴慦㙦㌸㕣㌶㘳㐸㜵㈴㥡〶㠲㔵㕡㡤㝣㈴愳㌴㔲㍤搳捥㉡㥤㙡㠷㈳㈰㘵愴愴㘴㘵挹㔴攴㉦㔴㉤㐷㙦㐸敥㈵搳〹㘰愵㐸㡢㤰㐹挸㈲㐸㐲㌶愱〱愱㈱愱ㄱ愱㌱攱ㅣ㐲づ愱〹攱㕣挲㜹㠴㝦㈳㥣㑦㘸㑡㘸㐶戸㠰挰晡戲㌹攱㈲㐰挳ㄶ㠰搱㠵晤㠶㤷㑦㠲㥢㔱搱扡戰摤㈱㌰㌶㍥收慢ちち昲ち昲㍡㜷捦敦㤱㤷摦㈱㔰㔸ㅦ㡡搶㠷敤慢㙡敤晡㘸戸㉣搴㈱㌰愲扥㍣㔴ㅤㅣ㙣捦ㄸ㕤㌷搹慥扤捡㉥捦敦㕣㕥搶愵㐷㐱㤷慥㕤㉢㝢昶散搱戰㈵㤴㠷ㄵ昶ㅢㄱ戶㉢㈳扦㤵收挵搴ㅣ㕥搸㉦㙦㤸ㅤ晤慤㌴㉦㠱㈶㈴㡢敡㙡捡慡㙢㝦㈳搱っ㥥搳㠲㈲㍢㔸捤㤳㙦摢攱敡摡㠹㜹ㄸ昶ㄹ〷ㅡ㕢摤昳挰ㄹ㕢ㄶ㉥戴㐳愱㙢敤㑡㥥昰挶㌵㘳㈲㜶㘱㝤㈴㕡㔷㌳慣慣挶㙥㔸挳〳㘸㠷敤摡愰ㅤ㘹㕣搳㝦㝡搰づ㈹㜶㈴慢〶扢㤲㤴捥攰㥣㥡昸㐹ㅣ㔴㘱搷㐶慢愳㌳ㅡ㔱攸摡戲摡㠹㌶㈹ㄹ㌵〳敡慢㉢㔲搲搳㐵㝡㝡㑡㥡昸㥤摢搸㘲愷㑡㡤㈸ㄶ昳ㄴ㈶攴攲㡣㘱昱㉢㜵改㔹晡㍣㘷挳愷㐴〷摢攱㕡㍢愴㑡昰㘴戶㍦㡢ㄷ㍢㐶昱㔳昱慦㠳愵つ昱㐴㠹〶敡敦㡦㙥㔸㈸㐵〶〸戹〰慢ㄵ㈰扤㝦攷晣慥昲㔲昶戵〶㠸昴愳昸ぢ㌶㜷攲㕦㔱㙡㘹㔹㙡㘹㜹㙡㘹㌰戵戴㈲戵搴㑥㉤慤㑣㉤㥤㤸㕡㕡㤵㕡㕡㥤㕡㍡㈹戵㜴㌲㌸晡㤳㤵㤹㤹慡㍥挳㕢㔹㕦昵晣敢晥愲㠷㐷㑤扥㉥㝦挱慡㥢〴晦㘸㜹愶㔳㘴ㅢ㐲㕢㠰㜵ㄹ〰㠳攸㥡㉦㉦㘷㕦㍢㠰㄰ㅦ㘳㄰ㅣ㐸㐱愳㍦㝦昰㜹摥㌷晤攷扥㕣㜲㐹摡扡戹晢〴晦攲攳ちㅤ挸敥〸戰昲〰戴搱㔳㕥挱扥㝣㠰㄰敦㈹㠵㑦㥦ㅢ晢㘳攷扢摦ㄸ扣敥㡤戶㕢摦っ㔶〵〵㉦ㄷ㜱㠵㑥㘴㜷〶㔸㕤〰㔰㈸挸㤷㕤搹搷つ㈰挴㕢㑡攱昵晥ㄳ挶㡣㍤搹戲㜸扢㥤㤲戵㌵攳挹愰攰戵㈶慥搰㠳散㥥〰慢ㄷ㠰ち㕤㘴㙦昶㕤〹㄰攲㌵愵㄰㕤㜷㔷挹攲㥦㘶づ摦扣昲搸㥣㠷㑦晣昸㡢攰昷㌶慥搰㠷散慢〱搶㌵〰㉡㜴㤵㝤搹搷て㈰挴ぢ㑡攱昲㡢㡢愷㝦㌵慢敢挰愵㌹㍦㥤ㅢ㥡摢㝣扣攰㔵㉥慥㔰㐴㜶㝦㠰㔵っ㠰㐲愷㝣㌹㠰㝤〳〱㐲散㔲ち㔷㘵摤㔰晥摡摡戹挵㜷㠶捥敢㝥慣㘴攰晤㠲㤷挸戸㐲〹搹㠳〱搶㄰〰挷搰㐳づ㘵摦㌰㠰㄰㍢㤴㐲摦搵ㅦ〶ㅥ摡昶㘳搱㠲戹晦㕤㌹慢愷扣㑦昰㥢ㄱ㔷ㄸ㐱昶㐸㠰㜵㉤㠰ち㍤攵㈸昶㡤〶〸戱㔵㈹扣摡㜲晦愸㤶㥢扦ㄸ晥摣㠶攷㔶㐷㔷㕥㌱㐱昰攲ㅣ㔷ㄸ㑢昶㌸㠰㜵ㅤ㠰㉥扡捡敢搹㌷ㅥ㈰挴〶愵㌰昱换㌷慥扥散㤹ㅦ晡扤昴扢摥ㄷ㝣㘷摤㜳㑣昰捡ㅥ㔷㤸㐰昶㡤〰敢㈶〰ㄴ昲㍢换㔲昶摤っ㄰㘲㡤㔲搸昳攲挹㠵摤愶㜴ㅣ昰㘴敦扦㙤㈸㥥晣挰挵㠲户㠵戸㐲㌹搹㐱㠰㔵〱愰㡢㑥搲㘶㕦㈵㐰㠸攵㑡㘱挶愹㤶㡦慣摦戱㝤攰攲㜹㑦户㙡昲昳㤲戶㠲昷㤴戸㐲ㄵ搹搵〰㙢ㄲ㠰ち㥤㈵晦㌶㘴〸㈰挴㐳㑡㘱㐳挷㑤户㑤慢晦愹㘸戹晤散㌷㕢㉢ㄷ摦㈱㜸㐳㡡㉢搴㤲㕤〷戰愶〰愰搰戹㤳扣㠵㝤㘱㠰㄰㑢㤴挲昷㉦捦慢慡㝦散捦㈵㑢扦㕢摢㜶搲改攱㤳〴敦㘶㜱㠵㈸搹昵〰㙢㉡㠰ち㕤攵㌴昶㑤〷〸戱㐰㈹㙣摣ㅢ㙥㝣昸㠷攳㠵昳昶っ扣戲㜵摡㡦㡦〹摥ち攳ち㌳挹㥥〵戰㙥〵㐰愱㔳㈷㜹ㅢ晢㙥〷〸㌱㐷㈹散扢㙥搴㤱慢晡㝣㔶戲㍤晡捤摥㐰捥昲㐵㠲昷搱戸挲㙣戲攷〰慣戹〰㉡昴㤰㜷戲㙦ㅥ㐰㠸㔹㑡愱晡戲㠳ㅦ㝤搲戰慡攸搱换㘷慤晦攲捡改㡢〵㙦挲㜱㠵昹㘴㉦〰㔸㜷〳愸搰㑤㉥㘴摦㈲㠰㄰昵㑡㘱捦㥡摢慡㥡捦㍥㔹戴㜳㜵愷昱㤷晦晥㤷㙦〴敦攰㜱㠵挵㘴㉦〱㔸昷〲㜸ㅣち攴㝤散扢ㅦ㈰㐴㥤㔲昸慦ㅢ㈶㉤㝣户㔹㥦愱㥢敥散㌳㝤㙡昳㥥〵㠲户晦戸挲㠳㘴㍦〴戰㤶〲愸搰㑤㍥捣扥㘵〰㈱慡㤵挲扤㝢㉥ㅣ㝥搹挸㈹搷散摤㕥㝤慣搳㙢ㅤ㥡〸捥ㅤ攲ち㡦㤲扤ㅣ㘰慤〰搰㐵㘷戹㤲㝤慢〰㐲〴㤵挲㤲㕦敦改㜲挹挲捦㡢搷㡥捣㕣㤰昹搸ㄵ攷㠸ぢ㤰㡥㉢慣㈶㝢つ挰㝡ㅣ〰㠵晣㙥㜲㉤晢搶〱㠴戸㔱㈹愴愴慣散㔲㜹散攴挰捤ㅢ挷㑣㔸扦敥搰㘳㠲戳㤶戸挲㝡戲㌷〰慣㡤〰㡥愱扢摣挴扥捤〰㈱挶㈹㠵挰扥慥ぢㅦづ晥晤㥡㠵㐵㘹ぢ摡㡤ㅥ㜰扥㘸㡥㜴㕣㘱ぢ搹㕢〱搶㌶〰ㄴちち攴ㄳ散摢づ㄰㘲愴㔲㜸愱晤㕢㥦昵㥤戵慣㜰捦挰散㠲收晦挸㕥㈷㌸㕦㡡㉢㍣㐵昶づ㠰昵㌴㠰㘳㈸㤰捦戰敦㔹㠰㄰㠳㤵挲㝢㝦㙤㜱晤㡤慢㍦㉤㔹昲收㥥摤晦㜱敡敡戹ㄹ〱愴ㄳ扢昳㕡㘰〶ち慢敡㈲㜶㙤散㑥摣扥㘶㐴㜵㜰戲ㅤㅥ㘵㜳搶㘹㔷㡣㡡㤶㐵敤昳㡤愹㐱晢攱戵㠵㔵扣搹㔷戴㌲㝢㉢晢㑦㡦摡戵ㄵ㜶挵㠸㜰摤ㄴ㍢ㅣ㥤㌱扡慣㍣㘴㌷㍤㠳搲ㄷ搳搸愹㌶ㄲㄷ㥥搱㕤㕣ㄷ慣㡦ㄴ搶搵㐶挳㜵愱㌳㌳㝤㉢愶㤶㘱㍡㔲㌱戴慥挲㑥㐹㑢ㄳ㈲㈵昵㍣㜵㕢敥㍦ㄵ㤳㡦㠱㘵戵ㄵ㈱㍢散㍢㔵ㄶ㥣㕢㔸搹昸愴㘴昰收㥤晣㌴㈳ㄵ㝢挹搸慣〶㜳搰㐸㐶㑤㜱㕤㌸㤲㤶收㔶㜴㘰㔹愴㉡㑡摦晥㐹敡敤㈴散〲㘴㕣ち㐸㘴ㄶ挳㙦愶㈸ㄳ攵㈲㈸㉡㠴㥤㔹㠳㔹捥搰㠹攱㡣搸攴㉤愳愶挸㡥〴㈵㘷㘷㠳㜰ㄲ愶㕢㠸㐲昵㤸搳昱戰摡搳愳㐵㘵搱戲捣㥡ㄱ㘵㤸摤㐵ㅢ㘳㐷昰摡㉢㠱㠶㝡㌳㌶〹搴ㅢ㤴换搱ㅢ㕡戵搱晦㜵㐰晣㍣扤㘵搴昸㤷㜶扣㤴㡣搵愱㜰㍣愲㙡愳㔸㥦㤶捣㔶㕢搰换㠹㠵㠶㔸㠳㔸㐷㕣〹摥昱晤挷ㄷ㈰㈵つ㌳换搸㍦㜱戴昸昱㍦㝣ㄸ㈷づ搴挵㄰挸戲㝣㑦㑣敢戳收㠸戱戹㘴戰㝣㑣戴㍡ㄴ挹挳㘰〶㠴敢敡愷㔰攷晦扢摥㙦㌵㙥㡥㍤晥昹晢慦晥晦ㅥ㝢㈹㕢戶〲挵㝡㥥㍣㕣㘶ㄴㅦ㕦摡摤攸挸㡥㘷㈵戳捥㘴㙣㑦㡦㕣㐶㙢散㤲捣㘴㥣ㄳ搷㠶㌵挳㠳攵愳挳㜶散〷㐶㔶㙣㘳挶ㄴ扢㔱捤戸扡昰攴昲扡扡挹晣㠶㌵㡥㙤㐵慡㙣㍢捡㈹㝢〳昵㈳㠵戱㄰㈲㉤敤㡣愹戹㌱户扦〴晡搶㉢㠰㐶㝤㐳愱㠰㔶㡣㔸慦戲ㅦ㕦〸㥣㜷敢㌵挴㥤㠷㤶〵挳㜵ㅤ昱换㌵㔸㔵ㄶ㠹㔶〷㍢づ慡㥤㔲ㅦ㡤㜴っ搶搵㑣〹搹㔱扢㘳慤ㅤ㥤㠶〱㜵慣挱搵㉡㤴㌷㍤ㄴ愹ㄱ㔷慡ぢ昴捣戴昴㡣㙤慦摣㌱㜸㑤攳摡㈷㐶戴㑥敤㈲㝡慢㠴㘳愶摦〶愵〲㉣ㅤ扢㘲㠹戶〸㜳搱攴㍥挲㝥㠰攰㙣㥦搷㡣昸㈷㤱ㄳ㜹ㄹ愸捥搳㜱〰扤㌸㡦㍥㐹扦㥣㘸㠷摤㜹㉥㈵㡦㥤攴搱㤲㍣㑣愲㠳㤷攵昶㉡攱昸㘹搲〱扢〵搰㤴攵㡥〸㘳㤶て㈱㤰㠷〱㠲㍦㑦㤲戳㥣挷㝤ㅤ摦捥㈳攸㠵㘵㥦愴㕦㑥攴㘳㜷㌷换㉤扣㉣㕦愴ㄲ㡥摦㔲㥤愰ㄴ㐰㔳㤶㍢㈳㡣㔹晥ㅡ㠱㍣づ㄰晣㍤㤵㥣攵㉥摣搷㘱昹〴㝡㘱搹㈷改㤷ㄳ摤戰扢㥢攵㠶㕥㤶ㅢ愸㠴攳挷㕦て㈸〵搰㤴攵㥥〸㘳㤶㑦㈲㤰愷〰㠲㍦〰㤳戳摣㡢晢㍡㉣㥦㐶㉦㉣晢㈴晤㜲㠲㍦㐱摤㉣晦昲捦昸㑦㙢挷摦昲捦㉡攱昸戵摡〷㑡〱㌴㘵昹㙡㠴㌱换㤶挰戰㌳〱愲㉦扡㤲戳㝣つ昶㜰㕡捥㠶ㄸ㉣晢㈴晤㜲愲ㅦ㐴摤㉣㝦攷㘵昹㕢㤵㜰晣扣㉥㠲㔲〰㑤㔹收捦敢㕣㌴搹ㄴ〳㤴捤〰㘲〰㌶㤳戳㕣㑣〱挷㔹㙥づ㌱㔸昶㐹晡攵挴㐰㠸扡㔹晥捣换昲㔱㤵㜰㍣て㈸㠱㔲〰㑤㔹ㅥ㡣㌰ㄷ㑤戶挱〰㘵㕢㠰ㄸ㡡捤攴㉣て愱㠰挳㜲㍢㠸挱戲㑦搲㉦㈷㠶㐱搴捤昲㐱㉦换㙦慢㠴攳〱挶〸㈸〵搰㤴㘵㍥挰挸㐵㤳摤㌰㐰搹ㅤ㈰㐶㘱㌳㌹换搷㔲挰㘱戹ㄷ挴㘰搹㈷改㤷ㄳ愳㈱敡㘶㜹慦㤷攵㍤㉡攱㜸攲㌲ㄶ㑡〱㌴㘵㜹ㅣ挲㕣㌴㔹㡣〱捡〱〰㜱㍤㌶㤳戳㝣ㅤ〵ㅣ㤶㑢㈰〶换㍥㐹扦㥣ㄸて㔱㌷换摢扣㉣㙦㔵〹挷㈳㈲㍥ㄸち愰㈹换㝣㐴㤴㡢㈶挷㘲㠰㜲ㅣ㐰㤴㘲㌳㌹换㌷㔱挰㘱㜹㍣挴㘰搹㈷改㤷ㄳ㌷㐳搴捤昲㉡㉦换㉢㔵挲昱㑣慢ㅣ㑡〱㌴㘵㌹㠸㌰ㄷ㑤㔶㘲㠰㜲㈲㐰昰戹㔶㜲㤶㉢㈸攰戰㍣〹㘲戰散㤳昴换㠹㑡㠸扡㔹㕥散㘵昹ㅥ㤵㜰㍣㠴慢㠲㔲〰㑤㔹收㐳戸㕣㌴㌹ㄵ〳㤴搳〰㘲㌲㌶㤳戳㍣㠹〲づ换㌳㈱〶换㍥㐹扦㥣〸㐱搴捤昲慤㕥㤶㘷愹㠴攳愹㘱㉤㤴〲㘸捡㌲㥦ㅡ收愲挹昹ㄸ愰㕣〰㄰㝣㜲㤸㥣攵㈹ㄴ㜰㔸㕥〴㌱㔸昶㐹晡攵㐴ㄸ愲㙥㤶㐳㕥㤶㈷慢㠴攳㌱㘷ㄴ㑡〱㌴㘵㤹㡦㌹㜳搱攴㌲っ㔰㍥〲㄰搳戰㤹㥣攵愹ㄴ㜰㔸㕥〱㌱㔸昶㐹晡攵挴㜴㠸扡㔹㥥攰㘵昹〶㤵㜰㍣㤷㥤〹愵〰㥡戲捣攷戲戹㘸㜲㈳〶㈸㌷〱〴㥦捤㈶㘷㤹捦㜵㥤㤶户㐰っ㤶㝤㤲㝥㌹㜱㍢㐴摤㉣て昱戲㍣㔸㈵ㅣて㤲㘷㐳㈹㠰愶㉣捦㐱㤸㡢㈶㜷㘲㠰㜲ㄷ㐰摣㠹捤攴㉣捦愵㠰攳㉣敦㠶ㄸ㉣晢㈴晤㜲㘲ㅥ㐴摤㉣㕦改㘵戹户㑡㌸㥥㝣捦㠷㔲〰㑤㔹㕥㠰㌰ㄷ㑤敥挳〰攵㝥㠰攰搳敦攴㉣摦㑤〱㠷攵〳㄰㠳㘵㥦愴㕦㑥㉣㠲愸㥢攵づ㕥㤶摢慢㠴攳㔱晤㘲㈸〵搰㤴㘵㍥慡捦㐵㤳㠷㌰㐰㜹ㄸ㈰昸戸㍥㌹换昷㔲挰㘱昹〸挴㘰搹㈷改㤷ㄳ昷㐳搴捤㜲ぢ㉦换ㄷ愹㠴㘳㙤攱㐱㈸〵搰㤴㘵慥㉤攴愲挹慦㌱㐰㜹ㅣ㈰戸扥㤰㥣攵愵ㄴ㜰㔸㍥〱㌱㔸昶㐹晡攵挴㌲㠸扡㔹㙥攸㘵戹㠱㑡㌸ㄶ㐳ㅥ㠵㔲〰㑤㔹㕥㡥㌰ㄷ㑤㥥挴〰攵㈹㠰攰㠲㐸㜲㤶㔷㔰挰㘱昹㌴挴㘰搹㈷改㤷ㄳ慢㈰敡㘶昹㤷㝦㜸晤㕥㔶〹挷敡捤㙡㈸〵搰㤴攵㌵〸㜳搱愴㤵ち挸〴㠸戵搸㑣捥昲攳ㄴ㜰㔸捥㠶ㄸ㉣晢㈴晤㜲㘲ㅤ㐴摤㉣㝦攷㘵昹㕢㤵㜰㉣㌷慤㠷㔲〰㑤㔹收㜲㔳捣㜲㔳㕡㙥㐶换㥢搰㤵㥣攵㡤搸挳㘹戹㜹摣戲㑦㔲晡攴挴㘶㠸扡㔹晥捣换昲㔱㤵㜰慣㡦㙤㠱㔲〰㑤㔹摥㡡㌰㘶戹つ㉤户愵㘵慥㤱㈵㘷㜹ㅢ昶㜰㕡㙥ㄷ户散㤳㤴㍥㌹戱ㅤ愲㙥㤶て㝡㔹㝥㕢㈵ㅣぢ㝡㑦㐱㈹㠰愶㉣㜳㐱㉦㘶戹ㅢ㉤㜷愷㘵㉥敡㈵㘷昹㘹散攱戴摣㉢㙥搹㈷㈹㝤㜲攲㔹㠸扡㔹摥敢㘵㜹㡦㑡㥣扤〲㤹扥ㄳ㑡扥㡢㉤㤹㈰㘴て愹㉢慢㈸㉥ぢ攲㙤戰㑣昵㉥㔸㔶㈱ㅥ愷㘳㥤㉡㥣挳挵戴㐲㍣㑡挷㠲攲搴敡ち㍢㥣挵㡥㔱㜸搷㉤㥤换㜰㔶㙣㠱㉢㠲昵愰戴㤴㡣㡣〶㔹㙥戵〶㘹慤搶㉥敦搲つ㜲攸㝦㌷戲〷ㅦ搱攱挲㤰〶㤴挵㍣㌹〳㜸㜲㜶㘱㤳㝥捥㈲っ㈴㘱㄰〹扢つ㐲ㄳ挴搹搹㐴㔹㐲挲㘰ㄲ昶ㄹ〴㠴扡挴㄰ㄲ㠶㤲戰摦㥤㌰㡣㠴攱㈴ㅣ㌰〸㐶㠹ㄱ㈴㡣㈴攱㤰㐱㐰愸㑢㕣㑢挲㈸ㄲづ扢ㄳ㐶㤳㌰㠶㠴㈳〶挱㈸㌱㤶㠴㜱㈴㝣㙤㄰㄰敡ㄲ搷㤱㜰㍤〹挷摤〹攳㐹戸㠱㠴ㄳ〶挱㈸㌱㠱㠴ㅢ㐹㌸㘹㄰㄰敡ㄲ㌷㤱㔰㑡挲㈹㜷挲捤㈴㤴㤱㜰摡㈰ㄸ㈵捡㐹〸㤲㘰〹搷戳㔹㐱㠲㑤㐲愶㍢愱㤲㠴㠹㈴㘴ㅢ〴愳㐴ㄵ〹搵㈴㌴㌵〸㠶㡢㐹㈴㑣㈶愱㤹㍢㈱㐴㐲つ〹捤つ㠲㔱愲㤶㠴㍡ㄲ摡ㄸ〴愳挴ㄴㄲ㙥㈱愱慤㍢㈱㑣㐲㠴㠴㜶〶挱㈸ㄱ㈵愱㥥㠴㙥〶挱㈸㌱㤵㠴㘹㈴㜴㜷㈷㑣㈷㘱〶〹扤っ㠲㔱㘲㈶〹戳㐸㈸㌶〸㐶㠹㕢㐹戸㡤㠴〱敥㠴摢㐹戸㠳㠴ㄲ㠳㘰㤴㤸㑤挲ㅣㄲ挶ㅡ〴愳挴㕣ㄲ敥㈴㘱㥣㍢㘱ㅥ〹㜷㤱㌰摥㈰ㄸ㈵收㤳戰㠰㠴㑡㠳㘰㤴戸㥢㠴㠵㈴㑣㜴㈷㉣㈲攱ㅥㄲ㈶ㄹ〴愳挴㘲ㄲ㤶㤰㌰搵㈰ㄸ㈵敥㈵攱㍥ㄲ愶戹ㄳ敥㈷攱〱ㄲ㘶ㅡ〴愳挴㠳㈴㍣㐴挲㝣㠳㘰㤴㔸㑡挲挳㈴㉣㜰㈷㉣㈳攱ㄱㄲㄶㄹ〴愳挴愳㈴㉣㈷㘱㤹㐱㌰㑡慣㈰㘱㈵〹㡦戸ㄳ㔶㤱昰ㄸ〹㉢っ㠲㔱㘲㌵〹㙢㐸搸㘸㄰㡣ㄲ㡦㤳戰㤶㠴㑤敥㠴㜵㈴晣㥥㠴㉤〶挱㈸戱㥥㠴つ㈴散㌴〸㐶㠹㡤㈴㙣㈲㘱㤷㍢㘱㌳〹㝦㈰㘱户㐱㌰㑡㙣㈱㘱㉢〹晢っ㠲㔱㘲ㅢ〹㑦㤰戰摦㥤戰㥤㠴㈷㐹㌸㘰㄰㡣ㄲ㑦㤱戰㠳㠴㐳〶挱㈸昱㌴〹捦㤰㜰搸㥤昰㉣〹捦㤱㜰挴㈰ㄸ㈵㜶㤲戰㡢㠴慦つ㠲㔱攲㡦㈴㍣㑦挲㜱㜷挲㙥ㄲ昶㤰㜰挲㈰ㄸ㈵昶㤲昰〲〹㈷つ㠲㔱攲㐵ㄲ㕥㈲攱㤴㍢攱㘵ㄲ㕥㈱攱戴㐱㌰㑡扣㑡挲㙢㈴㔸〰㤷扢晦敢㈴扣㐱㐲愶㍢㘱ㅦ〹晢㐹挸㌶〸㐶㠹㌷㐹㜸㡢㠴愶〶挱㜰㜱㠰㠴户㐹㘸收㑥㌸㐸挲㍢㈴㌴㌷〸㐶㠹㜷㐹㜸㡦㠴㌶〶挱㈸昱㈷ㄲ摥㈷愱慤㍢攱〳ㄲ㍥㈴愱㥤㐱㌰㑡㝣㐴挲挷㈴㜴㌳〸㐶㠹㐳㈴ㅣ㈶愱扢㍢攱ㄳㄲ㍥㈵愱㤷㐱㌰㑡ㅣ㈱攱㈸㈰愷ㄸ挰㑦捥〰ㅤっ搴挱㈰ㅤ㤴㈰戰挰戱㍥㐳㤰㔳搸慦昴㡣搷摣慤捦搱摢愰㌴晥㘲挷㘸扣㐵㘲晤㍢㍡ㅡ㤵挶㕦㠴㡦㑦㉡慤㉦搰搵㄰㝢挶㌶昱扡㝣挴㍡㠶㥥挶攸㌱㕥㕣戳扥㐴㕦ㄳ昴㥤昹㌶㝣捥㘰㜴戳㝥㤶挰晦挴㐰㥣㤲ㅤ㝢㘹㕣〶㄰捡慦搰㤱㌳㠴扤昸攴っ搵挱㌰ㅤっ搷挱〸〴㌱ㄷ㝦㐱攰㜴昱㌵㝡捦㜰㜱ㅣㅤ㘷戹昸㑦㜴㥤改攲ㅢ昴㥣敤攲〴晡㕣㕣㡣㐴昷㔹㉥摡㘲挸昱昷捦扦㐷㌲攷㕡〰㍦㌹愳㜴㌰㕡〷㘳㜴㌰ㄶ〱㔵㈴捦㠵攴愱㤷㍣摣㤲〷㔸昲㤸㑡ㅥ挴㥣㜱㠰戳㡡昱㉤㄰搹㠱㜰㤲㡣敢〰晣攴㕣慦㠳昱㍡戸㐱〷ㄳ㄰㈴㔰散㐶㐵㌳捥㑦㘷㈸换㑥㠴㕦㤱捣戹㐹㉢㤶敡攰㘶ㅤ㤴改㠰昳挹〴㡡㜱挶㜹㤶戳㥥慣搳㠳㤰㠵摦ㄹ㌹ㄵ㕡搱搶㐱愵づ㈶敡愰ち㐱〲挵慡ㄵ捤㜰挶ㅦ㌴戲て愱〹㡢㑤搲㡡㤳㜵㄰搲㐱㡤づ㙡ㄱ㈴㔰慣㑥搱㡣㘲㕣敤㤷㐵㠴收㉣㌶㐵㉢摥愲㠳戰づ㈲㍡㠸㈲㐸愰㔸扤愲ㄹ挵戸捥㉥㑢〸㤷戲搸㔴慤㌸㑤〷搳㜵㌰㐳〷㌳ㄱ㈴㔰㙣㤶愲ㄹ挵㐶戲捥〸㐲〷ㄶ扢㔵㉢摥愶㠳摢㜵㜰㠷づ㘶㈳㐸愰搸ㅣ㐵㌳㡡㡤㘳㥤戱㠴慥㉣挶㤹㉡㍦㌹㥣慤挶㠲㜹㍡戸㑢〷昳ㄱ㈴㔰㙣㠱愲ㄹ挵戸慡㉢戹搲㉢晢戰搸摤㕡㜱愱づㄶ改攰ㅥㅤ㉣㐶㤰㐰戱㈵㡡㘶ㄴぢ戲㑥㌹㘱〰㡢摤慢ㄵ敦搳挱晤㍡㜸㐰〷て㈲㐸愰搸㐳㡡㘶ㄴ攳㑡愶慣㈲㡣㘰戱愵㕡昱㘱ㅤ㉣搳挱㈳㍡㜸ㄴ㐱慣ㄸ㉦扡㤲搷㔸挹敢慡攴㤵㔴昲攲㈹㜹戵捣㔹づ㈰捤㈸挶㌵㐴挹㜵㐵㜹㍤㡢慤〰㠳㥦㥣㤵㍡㔸愵㠳挷㜴戰ㅡ㐱〲挵搶㈸㥡㔱㡣慢㜷㤲㉢㝡戲㥣挵ㅥ搷㡡㙢㜵挰挹㉣㍦㌹㥣搰挶㠲昵〸ㄲ㌸㡣ㅢㄴ捤㈸挶㜵㌳㌹㤳㌰㤹挵㌶㙡挵㑤㍡搸慣㠳㍦攸㘰ぢ㠲〴㥣㙤㔵㌴愳搸ㅣ搶㤹㑤攰㝦㜱捣搹愶ㄵ㥦搰挱㜶ㅤ㍣愹㠳愷㄰㈴攰㙣㠷愲ㄹ挵ㄶ戰捥㝣挲㙤㉣昶戴㔶㝣㐶〷捦敡攰㌹ㅤ散㐴㤰㠰戳㕤㡡㘶ㄴ攳㉡㡤㕣ㅣ慢挸㘲㝦搴㡡捦敢㘰户づ昶攸㘰㉦㠲〴㡡扤愰㘸㐶㌱慥㡦挸〷〹昷戱搸㡢㕡昱㈵ㅤ扣慣㠳㔷㜴挰昹㙥〲㠷㤱㌳㘲搲㡣㘲㕣㤹㤰㕣慤㤰㡦戲搸敢㕡昱つㅤ散搳挱㝥ㅤ扣㠹㈰㠱㘲㙦㈹㥡㔱㡣㙢〲㤲敢〴㜲㉤㡢ㅤ搰㡡㙦敢攰愰づ摥搱挱扢〸ㄲ㈸昶㥥愲ㄹ挵昸㌴㕥慥㈷㙣㘱戱㍦㘹挵昷㜵昰㠱づ㍥搴挱㐷〸ㄲ㈸昶戱愲ㄹ挵昸ㅣ㕣昲搹戸㝣㠶挵づ㘹挵挳㍡昸㐴〷㥦敡攰〸㠲〴㡡ㅤ㔵㌴愳搸づ搶攱㔳㘹戹ㄷ挵挴㔷㘰戸㍤昶扤收ㄷ㡦㈵㥣慢㔵挲昱晡昲昷ㅥ㑡扤扤㤴㝡愹㠴攳慤攰㤳ㅥ㑡摤扣㤴扡慡㠴攳㘵摢㕦㍤㤴ち扣㤴昲㔵挲昱づ㉢㈷㙣㙥挷愹㠳㤷㔲㝢㤵㜰扣ㅡ捡搹㤸㥢㔲㕢㉦愵㌶㉡攱㜸攳㤲㔳㉤㌷愵㔶㕥㑡戹㉡攱㜸㤱㤱昳㈸㌷愵㤶㕥㑡㉤㔴挲昱㝥㈰㈷㐹㙥㑡ㄷ㜸㈹㌵㔳〹挷㙢㜷㥣〱戹㈹㥤攷愵㜴慥㑡㌸摥㘶攳昴挶㑤愹戱㤷㔲㈳㤵㜰扣㈴挶戹㡢㥢㤲昴㔲捡㔲〹挷扢㔷㥣㤸戸㈹愵㝢㈹愵愹㠴攳㤵㈶捥㍡摣㤴㝥晤搹攳㉦昸㥦㉡攱㜸㔳㠸㔳ち㌷愵搳㕥㑡㍦愹㠴攳〵ㅣ捥ㄷ摣㤴晥挷㑢改㙦㉡攱㜸慦㠵㤳〱㌷愵ㅦ扤㤴㝥㔰〹挷敢㈲扣搳扢㈹㝤敢愵㜴㐲㈵ㅣ㙦㘱捣昷㔰晡摡㑢改㉦㉡攱㜸戹㠱昷㘸户㌱㝤改愵㜴㑣㈵㥣敦っ㜸㈸㝤收愵㜴㔴㈵ㅣ㑢昱扣扢扡㡤改戰㤷搲㈱㤵㜰慣㜰昳搶改愶昴㠱㤷搲晢㉡攱㔸㌸收㝤搱㑤改ㅤ㉦愵㠳㉡攱㔸㡦攵㑤捦㑤改㑤㉦愵晤㉡㜱昶㌲㘷㠳晦〵昷㕥ㅡ愷</t>
  </si>
  <si>
    <t>㜸〱扤㕢〹㜴ㄴ挵扡㑥㘵改愴挲攲戸愱㠲㕥㈷㡡㐴㈱㐴昶搵つ挲㤶㄰㈰〲㠲㈰ㄲ戳㌴㈴㘴㈶㠳㌳ㄳ㌶ㄵ〵ㄵ㄰㄰㕣ㄱ㐱㐱ㄴ㐱搹ㄴ㔱㤰挵摤〷㡡ぢ㉡ち㔷攴扥愷攷㜹昵ㅤ㕣敥攲ㄵ摦攵㝡昵㝤摦㑣搵㝤㐵㝡㜹㤹㜳㍣㙦捥愹㡦扦敢晦晡晢敢敢捥㑣㔷㜷㌵㘹㈲㉤㉤敤㔷㝣昸㉦㍦㤹っ捥ㅤ㌵㌳ㄶ户挳㠵㐵㤱㔰挸慥㡡搷㐶敡㘳㠵晤愲搱㡡㤹愵戵戱㜸〶〸㔶㜹㉤昲戱慣昲㔸敤㉣㍢愷㝣㥡ㅤ㡤㠱㤴㤵㤶㤶㤳㈳搳㤱㍦㐷戵㠰摥㤰摣㑢㘶ㄲ挰㑡㤳ㄶ㈱㥢㤰㐳㤰㠴㕣㐲㌳㐲㜳㐲ぢ㐲㑢挲㈹㠴〰攱㔴挲㘹㠴搳〹㘷㄰捥㈴戴㈲㥣㐵㌸㥢挰晡戲㌵愱つ愰昹戹㠰搱㐵晤㐷㔴㑥㠱㥢㔱昱㐸搴㉥〸㡥㐹㡥昹昲捥㥤ぢ㍢ㄷ㜶敤搹愹㔷㘱愷㠲㘰㔱㐳㈸摥㄰戵㉦慦户ㅢ攲搱㡡㔰㐱戰慣愱㌲㔴㕢㌵搴㥥㌹㍡㔲㘷搷㕦㙥㔷㜶敡㕡㔹搱慤㔷攷㙥摤扢㑦敡摤扢㔷昳昳愰㍣扣愸㝦㔹搴㥥ㄴ晢慤㌴㝦㐷捤ㄱ㐵晤ぢ㠷摢昱摦㑡昳㝣㘸㐲㜲㐰㈴㕣㔱㕢晦ㅢ㠹㘶昱㥣㜶ㅥ㘰㔷搵昲攴摢㜶戴戶㝥㜲㈱㠶㝤搲㠱挶㔶捦㐲㜰挶㔴㐴㡢散㔰㘸愴㍤㠹㈷扣㘵昸㥡㤸㕤搴㄰㡢㐷挲挳㉢挲㜶昳㌰て愰ㅤ戵敢慢散㔸换昰挰ㄹ㔵㜶㐸戱㘳㌹㘱散㑡㔲㈶㠳㔳挲挹㤳㔸㕣㙤搷挷㙢攳㌳㕢㔰㘸㘴㐵晤㘴㥢㤴慣昰攰㠶摡敡戴捣㑣㤱㤹㤹㤶㈱㉥㜲ㅢ㕢攲㔴愹ㄱ㈵㘲㥥挲㈶戹㌸㘹㔸晣㤳扡戰㤱㍥捦搹㠸愹昱愱㜶戴摥づ愹ㄲ㍣㤹ㅤㅡ昱ㄲ挷㈸㜹㉡晥㜵戰戴㈱㥥㈸搱㑣㝤晦攸㠶㠵搲㘴㤰㤰〷戰㉥〰㘴づ散摡戵㤷扣㤰㝤㙤〱㈲昳㌳㝣㠳捤㥤昸㉤㑡㉦慦㐸㉦慦㑣㉦慦㑡㉦慦㑥㉦户搳换㈷愵㤷㑦㑥㉦慦㐹㉦慦㑤㉦㥦㤲㕥㕥〷㡥晥攴㘴㘷愷慢㑦晥㐵扢挶㍣㌲慥㘷搱〳搳㐷㘵ㅦ㝦㔳戶ㄷ晣搲昲㑣愷挹㜶㠴㝣㠰㜵㌱〰㠳攸搶㐹㕥挲扥昶〰㈱㍥挱㈰㌸㤰㐷搷捣㉥㍣㝦昸昶㐱摢づ㙥扢㘸挹㝦㉥㙦㉥昸㡤㑦㉡ㄴ㤰摤ㄱ㘰ㄵ〲愰搰戳㡢扣㤴㝤㥤〰㐲ㅣ㔰ち晦㤵㔶摥㈶㕥晥㐴改挶㑢摡㕣晥攴攸㐵㉢〵㝦㉥㤲ち㕤挸敥ち戰扡〱㌸㠶敥戲㍢晢㝡〰㠴㜸㕢㈹搴㥤ㄱ㜸慥散挲㑥㈵换扦㉥㜸㜱摥敢㝢㍥㄰晣慤㐹㉡昴㈲扢㌷挰敡〳攰愱散㈹晢戲敦㌲㠰㄰㙦㈸㠵戱改ㅦㅤ扥㙡㘲挱搰㠵捦扣㌷晥扣〳ぢ㑥ㄳ晣扢㑤㉡㕣㐱昶㤵〰敢㉡〰挷搰㐵昶㘳㕦㝦㠰㄰㉦㈹㠵㉦捦敥晢攰㠱搷攷㤴㉥㜹㘱㘳㜰晣慤㘵㍢〵㝦攵㤲ち〳挸ㅥ〸戰〶〱㌸㠶摥㜲㌰晢㠶〰㠴搸愱ㄴ㝥戰㜷㡣㝣㘹昷〵挳ㅦ捤摢㔸摤㍤㌸㜱戹攰㑦㘴㔲愱㠴散愱〰慢ㄴ挰㌱昴㤴挳搸㌷ㅣ㈰挴㔶愵㜰捦㤷㜵㠱㜶㔳㠷㕤戵攲挴捥慡㥥〷㙦㙥㉢昸㤷㤱㔴㈸㈳晢㙡㠰㌵ㄲ㐰㠵慥㜲ㄴ晢㐶〳㠴搸愸ㄴ㝡摦晢挳敢〳戲てっ摣㜴搹〳㍦扥ㅣ扥㘳戶攰㡦㜳㔲㘱っ搹㘳〱搶戵〰㈸㜴敦㈲挷戱㙦㍣㐰㠸㈷㤵挲戱㥤慢㥦㥥戵敡挴㠸挷㉦昹昴㐰㌰扦挷㌸挱㕦昶愴挲〴戲慦〷㔸ㄳ〱㔴攸㈱换搹㜷〳㐰㠸搵㑡㈱晢挴ㄷ愲昴㐴㙥晦㌹㑦㙤㌹挵扥愱捤㙤㠲㤷㠵愴㐲㈵搹㔵〰慢ㅡ㐰㠵㕥搲㘶摦㈴㠰㄰て㉢㠵戶敦㥤㌹㘱搹戹㥢㡡㌷㔷㝦㍡㙦㙥晥㜵㐲昰㥡㤲㔴愸㈱扢ㄶ㘰㑤〱㐰愱㙢㈷挹敦㠶っ〱㠴戸㕦㈹ㅣ戹㜷昶摣㉤㍦扣㕡戲昶晡㠳晤敡敦散摢㕢昰㠲㤴㔴愸㈷㍢〲戰愶〲愰搰慤户扣㤱㝤㔱㠰㄰㜷㉢㠵户㉦㍤㕥㍡㜶挷挵晤ㅦ慤㥢戸愲昹摣㈷㑡〵慦㘶㐹㠵㌸搹つ〰㙢ㅡ〰ち㍤㍢换改散㥢〱㄰㘲扥㔲㔸㌲㝢改㉦㝦ㅣ㜵㑢昱挳〳㥦㍡晡攳㠸挲㌱㠲㤷挲愴挲㉣戲㙦〲㔸㌷〳㜸ㅣ㍡换㕢搸㌷ㅢ㈰挴ㅣ愵㌰㌷搴昷㉦㉦ㅤㄸ㔶昲搸㜷敢㍥捤扦晣搲㙥㠲搷搱愴挲㙤㘴捦〱㔸㜳〱㜴搱㑤摥捥扥㍢〰㐲摣愴ㄴ㕡㤶扦㝡㙣攲愲扦て㔸ㄳ㙥ㅥㅢ户㙡㕡㔸昰㈲㥣㔴㤸㐷昶㝣㠰戵〰〰㠵慥摤攴㕤散㕢〸㄰愲㐱㈹慣搸摣㔱戶挹扤㘴搸㤲攲㜳昶晦㙤昵挰ㅦ〵慦攰㐹㠵挵㘴摦つ戰㤶〰愰搰愳戳㕣捡扥㝢〰㐲㐴㤴㐲㑤昵昸戵愳慦昹㘵攸摤㜳㝦㜷㙤挵㠹敥挵㠲㤷晦愴挲㝤㘴摦て戰ㅥ〰搰㐵て昹㈰晢㤶〱㠴愸㔵ち搹搱戴㘷㜶扣晦㙤改ぢ㉦㙣㡣㉥扤攱捤㍦〸捥ㅤ㤲ち换挹㝥ㄸ㘰慤〰㔰愱㤷㕣挹扥㐷〰㐲㔴㈹㠵㐵㥦ㅣ慤㝣㝦敥敡㤲晢㔶㉥搸㕤晣㝤攵捦攲㙣愴㤳ち慢挸㕥つ戰ㅥ〳昰㌸㜴㤵㙢搸昷㌸㐰㠸敢㤵挲昷ㅤ㑡㡦搶㌴晣㕣扣晤晣攵㕢㡢㕥戹攷㔹挱㔹㑢㔲㘱㉤搹㑦〲慣㜵〰ㅥ㠷摥㜲㍤晢㥥〲〸㌱㔶㈹㍣㍦昰慢晡ぢ㈷㝣㍥㘴搵ㅤ〷捦晥攴改戲戸㘸㡤㜴㔲㘱〳搹ㅢ〱搶㈶〰㕤㜴㤶㥢搹户〵㈰挴搵㑡攱攲搹㌹㝦㙤㝤㔱愴攴㤹慡戴ㅤ㍢㜳挷㕤㈱㌸㕦㑡㉡㍣㑢昶㔶㠰昵ㅣ〰ち㕤㝡换㙤散㝢ㅥ㈰挴㔰愵㘰户扥昳愲㡦搷晦戳㜸攵昱㉢㤶㥤㌱㉦敦㥢慣㈰搲㑤扢昲㕡㘰〶㡢㙡㈲㌱扢㍥㜱㈵敥㄰㉥慢慤慡戳愳愳㙣捥㍡敤敡㔱昱㡡戸㝤愶㌱㌵攸㌰愲扥愸㠶ㄷ晢敡ぢ捣摥㐹〳㘷挴敤晡㙡扢扡㉣ㅡ㤹㙡㐷攳㌳㐷㔷㔴㠶散㔶㈷㔱晡㘱ㅡ㍢捤㐶攲㥣㤳扡〷㐵慡ㅡ㘲㐵㤱晡㜸㌴ㄲ㍡㌹搳慦㝡㕡〵愶㈳搵挳㈲搵㜶㕡㐶㠶㄰㘹改愷慢换昲挰㘹㤸㝣っ愹愸慦づ搹㔱摦愹戲攰摣挲捡挵㈷㉤㡢ㄷ敦搴愷ㄹ改搸㑢㈶㘶㌵㤸㠳挶戲挲㠳㈲搱㔸㐶㠶㕢搱㈱ㄵ戱㥡㌸㝤晢㈷愹户㥤戰〳㤰㜵㈱愰㈹戳ㄸ晥㘵㡡ち㔱㈹慡㐴戵戰戳挳㤸攵っ㥢ㅣ捤㑡㑣摥戲挲〳散㔸㤵攴散慣ㄸ㈷㘱㠶㠵㈸搴㠰㌹ㅤて慢㍤㈳㍥愰㈲㕥㤱ㅤ㉥慢挰散㉥摥ㄲ㍢㠲搷㐱〹㌴搷㥢㠹㐹愰摥愰㕣㐰㙦㘸搵ㄶ晦摢〱昱搳昵㤶㔱攳㕦摡挹㔲㌲㔱㠷挲挹㠸慡㉤ㄲ㝤㕡㌲㔷㙤㐱㉦㤰〸つ戱㘶㠹㡥愴ㄲ扣攳敦ㅦ㝦〰㘹ㄹ㤸㔹㈶晥㐹愲挵㡦晦攱挳㌸㜱愰㝥〷㠱ㅣ换昷挴戴㙤㌴㐷㑣捣㈵慢㉡慦㠹搷㠶㘲㠵ㄸ捣攰㘸愴㘱㉡㜵晥扦敢晤㔶攳收搸㤳㥦晦晥搵晦摦捦㕦挹㤵ㄷ㠰㘲敤㈴て㍦㌳㡡㡦㍦摡㕤攸挸㑤㘶㈵戳捥㘴㘲㑦㡦㕣㔶㕢散㤲捡㘴㥣ㄳ搷收攱ㄱ㔵㤵愳愳㜶攲〶㈳㈷戱㌱㜳慡摤㈲㍣㌶ㄲ慤慢㡣㐴敡昸ㄷ搶㌲戱ㄵ慢戱敤㌸愷散捤搴㑤ち㘳㈱㐴㐶挶㐹㔳㜳㘳㙥㝦㍥昴慤搷〰㉤晡㠵㐲㐱慤ㄸ戳㕥㘷㍦晥㈰㜰摥慤㌷㄰㜷ㅤ㔶㔱ㄵ㡤㜴挴㥤㙢㔵㑤㐵㉣㕥㕢搵戱戸㝥㙡㐳㍣搶戱㉡ㄲ㥥ㅡ戲攳㜶挷㝡㍢㍥ㅤ〳敡ㄸ挶慦㔵愸㜰㐶㈸ㄶㄶ㤷愹ㅦ攸㔹ㄹ㤹㔹㥢㕥扢㜵攸敡㤶昵㥢换摡愶㜷ㄳ㝤㔵挲㌱搳㙦㠷㔲㐱㤶㑥晣㘲㠹㝣㠴㜹㘸㜲㉦㘱ㅦ㐰㜰戶捦摦㡣攴愷㈹㈷昲㘲㔰㥤愷㘳㍦㝡㜱ㅥ㝤㤲㝥㌹搱ㅥ扢昳㕣㑡ㅥ㍢挹愳㈵㜹㤸㐴㠱㤷攵づ㉡攱戸㌵㈹挰㙥㐱㌴㘵戹㈳挲㠴攵㐳〸攴㘱㠰攰敤㐹㙡㤶ぢ戹慦攳慦昳〸㝡㘱搹㈷改㤷ㄳ㥤戰扢㥢攵㜳扤㉣户㔱〹挷扤㔴ㄷ㈸〵搱㤴攵慥〸ㄳ㤶扦㐲㈰扦〶〸摥㑦愵㘶戹ㅢ昷㜵㔸㍥㠶㕥㔸昶㐹晡攵㐴て散敥㘶戹戹㤷攵㘶㉡攱戸昹敢〵愵㈰㥡戲摣ㅢ㘱挲昲㜱〴昲㈷㠰攰つ㘰㙡㤶晢㜰㕦㠷攵ㄳ攸㠵㘵㥦愴㕦㑥昰ㄶ搴捤昲捦扦㈴㙦慤ㅤ摦攵㝦愸㠴攳㙥昵ち㈸〵搱㤴攵㉢ㄱ㈶㉣㕢〲挳捥〶㠸㝥攸㑡捤昲㔵搸挳㘹㌹ㄷ㘲戰散㤳昴换㠹晥㄰㜵戳晣慤㤷攵㙦㔴挲㜱㝢㍤〰㑡㐱㌴㘵㤹户搷㜹㘸戲ㄵ〶㈸捦〲㠸挱搸㑣捤昲㈰ち㌸捥㜲㙢㠸挱戲㑦搲㉦㈷㠶㐰搴捤昲㔱㉦换㥦愹㠴攳㜹㐰〹㤴㠲㘸捡昲㔰㠴㜹㘸戲ㅤ〶㈸昳〱㘲ㄸ㌶㔳戳㕣㑡〱㠷攵昶㄰㠳㘵㥦愴㕦㑥っ㠷愸㥢攵㜷扤㉣扦愳ㄲ㡥〷ㄸ㘵㔰ち愲㈹换㝣㠰㤱㠷㈶㝢㘰㠰戲㈷㐰㡣挲㘶㙡㤶㐷㔲挰㘱戹て挴㘰搹㈷改㤷ㄳ愳㈱敡㘶㜹㡦㤷攵摤㉡攱㜸攲㌲〶㑡㐱㌴㘵㜹㉣挲㍣㌴㌹〸〳㤴㠳〱㘲ㅣ㌶㔳戳㝣㉤〵ㅣ㤶㑢㈰〶换㍥㐹扦㥣ㄸて㔱㌷换㥢扣㉣㙦㔴〹挷㈳㈲㍥ㄸち愲㈹换㝣㐴㤴㠷㈶挷㘰㠰㜲㉣㐰㤴㘳㌳㌵换ㄳ㈹攰戰㍣ㅥ㘲戰散㤳昴换㠹ㅢ㈰敡㘶昹ㄱ㉦换㉢㔵挲昱㑣慢ㄲ㑡㐱㌴㘵戹ち㘱ㅥ㥡㥣㠴〱捡挹〰挱攷㕡愹㔹慥愶㠰挳昲ㄴ㠸挱戲㑦搲㉦㈷㈶㐱搴捤昲㘲㉦换㡢㔴挲昱㄰慥〶㑡㐱㌴㘵㤹て攱昲搰攴㌴っ㔰㑥〷㠸㍡㙣愶㘶㜹ち〵ㅣ㤶㘷㐱っ㤶㝤㤲㝥㌹ㄱ㠲愸㥢攵㥢扤㉣摦愴ㄲ㡥愷㠶昵㔰ち愲㈹换㝣㙡㤸㠷㈶攷㘱㠰㜲㍥㐰昰挹㘱㙡㤶愷㔲挰㘱㜹㈱挴㘰搹㈷改㤷ㄳ㔱㠸扡㔹づ㜹㔹慥㔳〹挷㘳捥㌸㤴㠲㘸捡㌲ㅦ㜳收愱挹㘵ㄸ愰㝣〸㈰愶㘳㌳㌵换搳㈸攰戰扣〲㘲戰散㤳昴换㠹ㄹ㄰㜵戳㍣挱换昲㜵㉡攱㜸㉥㍢ぢ㑡㐱㌴㘵㤹捦㘵昳搰攴㍡っ㔰慥〷〸㍥㥢㑤捤㌲㥦敢㍡㉤㙦㠰ㄸ㉣晢㈴晤㜲㘲㌶㐴摤㉣㤷㝡㔹ㅥ慡ㄲ㡥〷挹户㐱㈹㠸愶㉣捦㐱㤸㠷㈶户㘳㠰㜲〷㐰摣㡥捤搴㉣捦愵㠰攳㉣敦㠲ㄸ㉣晢㈴晤㜲攲づ㠸扡㔹扥捣换㜲㕦㤵㘸搹昸挹昷㍣㈸〵搱㤴攵昹〸昳搰攴㕥っ㔰敥〳〸㍥晤㑥捤昲〲ち㌸㉣敦㠷ㄸ㉣晢㈴晤㜲㘲㈱㐴摤㉣ㄷ㜸㔹敥愰ㄲ㡥㐷昵㡢愱ㄴ㐴㔳㤶昹愸㍥て㑤ㅥ挲〰攵㘱㠰攰攳晡搴㉣㉦愱㠰挳昲ㄱ㠸挱戲㑦搲㉦㈷敥㠱愸㥢攵㜳扤㉣户㔱〹挷摡挲㝤㔰ち愲㈹换㕣㕢挸㐳㤳㕦㘱㠰昲㙢㠰攰晡㐲㙡㤶ㅦ愰㠰挳昲㌱㠸挱戲㑦搲㉦㈷㤶㐱搴捤㜲㜳㉦换捤㔴挲戱ㄸ戲ㅣ㑡㐱㌴㘵昹㘱㠴㜹㘸昲㌸〶㈸㝦〲〸㉥㠸愴㘶㜹〵〵ㅣ㤶㑦㐰っ㤶㝤㤲㝥㌹昱〸㐴摤㉣晦晣㑦慦晢㘵㤵㜰慣摥慣㠲㔲㄰㑤㔹㕥㡤㌰て㑤㕡改㠰㙣㠰㔸㠳捤搴㉣㍦㐶〱㠷攵㕣㠸挱戲㑦搲㉦㈷ㅥ㠷愸㥢攵㙦扤㉣㝦愳ㄲ㡥攵愶戵㔰ち愲㈹换㕣㙥㑡㔸㙥㐵换㘷搱昲㝡㜴愵㘶㜹ㅤ昶㜰㕡㙥㥤戴散㤳㤴㍥㌹昱ㄴ㐴摤㉣ㅦ昵戲晣㤹㑡㌸搶挷㌶㐰㈹㠸愶㉣㙦㐴㤸戰摣㡥㤶昳㘹㤹㙢㘴愹㔹摥㠴㍤㥣㤶摢㈷㉤晢㈴愵㑦㑥㙣㠱愸㥢攵㜷扤㉣扦愳ㄲ㡥〵扤㘷愱ㄴ㐴㔳㤶戹愰㤷戰摣㠳㤶㝢搲㌲ㄷ昵㔲戳晣ㅣ昶㜰㕡敥㤳戴散㤳㤴㍥㌹昱㍣㐴摤㉣敦昱戲扣㕢㈵ㅡ慦㐰㘶㙥㠷㤲敦㘲㑢㌶〸戹愵㤱㡡敡㐱ㄵ㔵㜸ㅢ㉣㕢扤ぢ㤶㔳㠴挷改㔸愷㡡〶戸㤸㔶㠴㐷改㔸㔰㥣㔶㕢㙤㐷㜳搸㌱ち敦扡㘵㜲ㄹ捥㑡㉣㜰挵戰ㅥ㤴㤱㤶㤵搵㉣挷慤㔶戱搶㙡敢昲㉥㕤戱㐳晦摢慢㝢昱ㄱㅤ㝥ㄸ㌲㠰㜲㄰㑦捥㘰㥥㥣ㅤ搸愴㥦㐶㠴㈱㈴ㄴ㤳戰换㈰㥣㡡㌸㌷㤷㈸㑢㐸ㄸ㑡挲㕥㠳㠰㔰㤷㈸㈵㘱ㄸ〹晢摣〹挳㐹ㄸ㐱挲㝥㠳㘰㤴㈸㈳攱㙡ㄲづㄹ〴㠴扡挴㐸ㄲ㐶㤱㜰搸㥤㌰㥡㠴㙢㐸㌸㘲㄰㡣ㄲ㘳㐸ㄸ㑢挲㔷〶〱愱㉥㜱㉤〹攳㐸昸摡㥤㌰㥥㠴敢㐸㌸㘶㄰㡣ㄲㄳ㐸戸㥥㠴攳〶〱愱㉥㌱㤱㠴㜲ㄲ㝥㜲㈷摣㐰㐲〵〹㈷っ㠲㔱愲㤲㠴㉡ㄲ㉣攱㝡㌶慢㐹戰㐹挸㜶㈷㑣㈲㘱㌲〹戹〶挱㈸㔱㐳㐲㉤〹慤っ㠲攱㘲ち〹㜵㈴㥣攵㑥〸㤱㄰㈶愱戵㐱㌰㑡搴㤳㄰㈱愱㥤㐱㌰㑡㑣㈵攱㐶ㄲ昲摤〹㔱ㄲ㘲㈴戴㌷〸㐶㠹㌸〹つ㈴昴㌰〸㐶㠹㘹㈴㑣㈷愱愷㍢㘱〶〹㌳㐹攸㘳㄰㡣ㄲ戳㐸戸㠹㠴㐱〶挱㈸㜱㌳〹户㤰㌰搸㥤㌰㥢㠴㕢㐹㈸㌱〸㐶㠹摢㐸㤸㐳挲ㄸ㠳㘰㤴㤸㑢挲敤㈴㡣㜵㈷摣㐱挲㥤㈴㡣㌷〸㐶㠹㜹㈴捣㈷㘱㤲㐱㌰㑡㉣㈰攱㉥ㄲ㈶扢ㄳㄶ㤲戰㠸㠴㈹〶挱㈸戱㤸㠴扢㐹㤸㘶㄰㡣ㄲ㑢㐸㔸㑡挲㜴㜷挲㍤㈴摣㑢挲㉣㠳㘰㤴戸㡦㠴晢㐹㤸㘷㄰㡣ㄲて㤰昰㈰〹昳摤〹换㐸㜸㠸㠴㠵〶挱㈸戱㥣㠴㠷㐹㔸㘶㄰㡣ㄲ㉢㐸㔸㐹挲㐳敥㠴㐷㐸㜸㤴㠴ㄵ〶挱㈸戱㡡㠴搵㈴慣㌳〸㐶㠹挷㐸㔸㐳挲㝡㜷挲攳㈴㍣㐱挲〶㠳㘰㤴㔸㑢挲㤳㈴㙣㌷〸㐶㠹㜵㈴慣㈷㘱㠷㍢攱㈹ㄲ㥥㈶㘱㤷㐱㌰㑡㙣㈰㘱㈳〹㝢つ㠲㔱㘲ㄳ〹㥢㐹搸攷㑥搸㐲挲㌳㈴散㌷〸㐶㠹㘷㐹搸㑡挲㈱㠳㘰㤴㜸㡥㠴㙤㈴ㅣ㜶㈷㍣㑦挲ぢ㈴ㅣ㌱〸㐶㠹敤㈴散㈰攱㉢㠳㘰㤴㜸㤱㠴㥤㈴㝣敤㑥搸㐵挲㙥ㄲ㡥ㄹ〴愳挴ㅥㄲ㕥㈲攱戸㐱㌰㑡扣㑣挲㉢㈴晣攴㑥㜸㤵㠴搷㐸㌸㘱㄰㡣ㄲ慦㤳昰〶〹ㄶ挰攵敡晦㈶〹晦㐶㐲戶㍢㘱㉦〹晢㐸挸㌵〸㐶㠹户㐸㜸㥢㠴㔶〶挱㜰戱㥦㠴㜷㐸㌸换㥤昰㉥〹敦㤱搰摡㈰ㄸ㈵摥㈷攱〰〹敤っ㠲㔱攲〳ㄲ㍥㈴㈱摦㥤昰ㄱ〹〷㐹㘸㙦㄰㡣ㄲㅦ㤳昰〹〹㍤っ㠲㔱攲㄰〹㠷㐹攸改㑥昸㍤〹㥦㤲搰挷㈰ㄸ㈵㡥㤰昰ㄹ㈰㌰〸挰㑦㘰戰づ㠶攸愰㔸〷㈵〸㉣㜰慣愳〸〲㐵晤换㑦㝡捤摤晡〳㝡㥢㤵㈷㕦散ㄸ㡤户㐸慣㝦㐷㐷㡢昲攴㡢昰挹㐹愵昵ㅦ攸㙡㡥㍤ㄳ㥢㜸㕤㍥㘶㝤㡥㥥㤶攸㌱㕥㕣戳扥㐰摦愹攸㍢昹㙤昸挰㔰㜴戳㝥㡥挰晦挴㐰㥣㤶㥢㜸㘹㕣〶ㄱ捡㉦搱ㄱ㈸㘵㉦㍥㠱㘱㍡ㄸ慥㠳ㄱ㍡㈸㐳㐰ㄵ㐹ㄷ㤲㠳㤶ㅣ愸攴搰㈴㐷㈳㔹㍥㜰㌵愰㔱戱㝣敥搵㡥昰ㅤㄹ㈳〱晣〴㐶改㘰戴づ慥搱挱ㄸ〴㔴戱扥㐷攰㍣㘴㝦㐲敦㐹㠷散捦攸㘸㜴挸晥㠲慥㤳て搹㕦搱搳昸㤰晤㠰㍥㤷㐳㌶ㄶ摤㡤㕣昰㉤㄰㔹㐰㌸㡥㘴攰㕡〰㍦㠱㜱㍡ㄸ慦㠳敢㜴㌰〱〱㔵晥㡦㐳㜶扤愲ㄹ攷愷㉢昷敡㐲昸ㄵ挹挰㐴慤㔸慥㠳ㅢ㜴㔰愱〳捥㈷㥢㔰㡣㌳捥㐶捥㝡戳㑥㉦㐲づ敥㌳〲搵㕡㤱㜳㑦㝥〲㤳㜴㌰㔹〷㌵〸㥡㔰慣㔶搱っ㘷扣愱㤱㔷㄰㑥㘵戱㈹㕡戱㑥〷㈱ㅤ㠴㜵㔰㡦愰〹挵㈲㡡㘶ㄴ攳㙡扦ㅣ㐰㘸捤㘲㔳戵攲㡤㍡㠸敡㈰愶㠳㌸㠲㈶ㄴ㙢㔰㌴愳ㄸ搷搹㘵〹攱㐲ㄶ㥢愶ㄵ愷敢㘰㠶づ㘶敡㘰ㄶ㠲㈶ㄴ扢㐹搱㡣㘲㔷戳㑥ㄹ愱㠰挵㙥搶㡡户攸㘰戶づ㙥搵挱㙤〸㥡㔰㙣㡥愲ㄹ挵挶戲捥ㄸ㐲㜷ㄶ攳㑣㤵㥦〰㘷慢㠹攰づㅤ㜰㝡㥡攸㤹㠷㈰㔱㡣㕦㘰挹敦慢攴㜷㔴昲㕢㈹昹㐵㤴晣收〵收〳㐸㌳㡡㜱㔵㔷㜲愵㔷㕥挱㘲ぢ挰攰㈷㜰㤷づㄶ敡㘰㤱づㄶ㈳㘸㐲戱扢ㄵ捤㈸㔶〵㘵㔹㐹ㄸ捣㘲㑢戴攲㔲ㅤ摣愳㠳㝢㜵㜰ㅦ㠲㈶ㅣ挶晢ㄵ捤㈸挶㤵㑣㔹㐳㈸㘳戱〷戴攲㠳㍡㔸愶㠳㠷㜴戰ㅣ㐱ㄳ㡡㍤慣㘸㐶㌱慥㈱㑡慥㉢捡㜱㉣戶㐲㉢慥搴挱㈳㍡㜸㔴〷慢㄰㌴攱㌰慥㔶㌴愳ㄸ㔷敦㈴㔷昴㘴㈵㡢㍤愶ㄵ搷攸㠰㤳㔹㝥〲㥣搰㈶㠲戵〸㥡攰㡣昳㕢搲㡣㘲㕣㌷㤳戳〸㜵㉣戶㑥㉢慥搷挱㔳㍡㜸㕡〷ㅢ㄰㌴愱搸㐶㐵㌳㡡捤㘱㥤摢〸晣㉦㡥㠱㑤㕡㜱戳づ戶攸攰ㄹㅤ㍣㡢愰〹挵戶㉡㥡㔱㙣㍥敢捣㈳摣挲㘲捦㘹挵㙤㍡㜸㕥〷㉦攸㘰㍢㠲㐴㌱晦敦搹づ㐵㌳㡡㜱㤵㐶㉥㑥㔴㘴戱ㄷ戵攲㑥ㅤ散搲挱㙥ㅤ散㐱搰〴㘷㉦㈹㥡㔱㡣敢㈳昲㍥挲㔲ㄶ㝢㔹㉢扥愲㠳㔷㜵昰㥡づ㌸摦㙤㐲㌱捥㠸㐹㌳㡡㜱㘵㐲㜲戵㐲㉥㘷戱㌷戵㈲攷挶晣〴昶敡㘰㥦づ摥㐲搰㠴㘲㙦㉢㥡㔱㡣㙢〲㤲敢〴㜲つ㡢敤搷㡡敦攸攰㕤ㅤ扣愷㠳昷ㄱ㈴㡡昹㥦戳〳㡡㘶ㄴ攳搳㜸戹㤶戰㠱挵㍥搰㡡ㅦ敡攰㈳ㅤㅣ搴挱挷〸㥡攰散ㄳ㐵㌳㡡昱㌹戸攴戳㜱戹㡤挵づ㘹挵挳㍡昸扤づ㍥搵挱ㄱ〴㑤㈸昶㤹愲ㄹ挵戶戲づ㥦㑡换㍤㈸㈶扥〴挳敤戱敦㔵㍦㝢㉣攱㕣愹ㄲ㡥搷㤷扦昳㔰敡敢愵搴㐷㈵ㅣ㙦〵ㅦ昷㔰敡攱愵搴㕤㈵ㅣ㉦摢晥敡愱搴搹㑢愹㤳㑡㌸摥㘱攵㠴捤敤㌸ㄵ㜸㈹㜵㔰〹挷慢愱㥣㡤戹㈹攵㝢㈹戵㔳〹挷ㅢ㤷㥣㙡戹㈹㕤攰愵㤴愷ㄲ㡥ㄷㄹ㌹㡦㜲㔳㍡捦㑢改㕣㤵㜰扣ㅦ挸㐹㤲㥢搲搹㕥㑡㘷愹㠴攳戵㍢捥㠰摣㤴㑥昷㔲㍡㑤㈵ㅣ㙦戳㜱㝡攳愶搴搲㑢愹㠵㑡㌸㕥ㄲ攳摣挵㑤㐹㝡㈹攵愸㠴攳摤㉢㑥㑣摣㤴㌲扤㤴㌲㔴挲昱㑡ㄳ㘷ㅤ㙥㑡扦晥挳攳ㅢ晣㡢㑡㌸摥ㄴ攲㤴挲㑤改㠴㤷搲摦㔵挲昱〲づ攷ぢ㙥㑡㍦㝡㈹晤㑤㈵ㅣ敦戵㜰㌲攰愶昴㘷㉦愵㍦愹㐴换挶慦㡢昰㑡敦愶昴㡤㤷搲㌱㤵㜰扣㠵㌱捦㐳改㉢㉦愵㍦慡㠴攳攵〶㕥愳摤挶昴㠵㤷搲攷㉡攱㝣㘷挰㐳改愸㤷搲㘷㉡攱㔸㡡攷搵搵㙤㑣㠷扤㤴づ愹㠴㘳㠵㥢㤷㑥㌷愵㡦扣㤴㍥㔴〹挷挲㌱慦㡢㙥㑡敦㜹㈹扤慢ㄲ㡥昵㔸㕥昴摣㤴摥昲㔲摡愷ㄲ㡤㤷㌹㥢晤て改㔸ㄴ慥</t>
  </si>
  <si>
    <t>㜸〱扤㕢〹㜸㔴㐵扡㑤㘵改愴〲㘱㈲扣〱㐵㥣改〸㠲挳ㄲ搹ㄳ㔰ㄱ㐸㈰散㠴㉤㈰㉡愱㤳摣㐰愰㤳挶敥づ慢㈸㈸㠲㈲〲㈲戲㈳㉥㙣戲㌸攰〲ち㌸㡣换㠰㈲敥戲〸扥ㄹ㝤㑦㘱㐴挷㌷㌳捦㠷㍥㘶㐶摥㌹摤㔵㌳〵㜷昹搲摦攷昷晡晢敡昰摦晡捦㍤㝦㥤扥㥤扥搵㔵㤷㈴㤱㤴㤴㜴ㄱ㉦晥换㔷㉡㠳㘶㈳㘶㐴愲㔶㜵㙥㐱㈸ㄸ戴捡愳㔵愱㥡㐸㙥慦㜰㌸㌰㘳㔰㔵㈴㥡〲㠲慦戴ち昹㐸㕡㘹愴㙡愶㤵㔱㍡搵ち㐷㐰㑡㑢㑡捡挸㤰挹挸㕦愵㕡戶㍥㤰㍣㑢愶ㄲ挰㑡㤲㍥㐲㍡㈱㠳㈰〹㤹㠴㝡㠴晡㠴㉣㐲〳挲捦〸搹㠴㉢〸つ〹㡤〸晦㐶昸㌹愱㌱愱〹攱㑡〲敢换愶㠴慢〱昵㥢〱㐶ㄶ昴ㅥ㕡㌶〹㙥㐶㐴㐳㘱慢慤扦㈴㍥收㥢㍢㜴挸敤㤰摢㈹慦㝤㝥㙥晢戶晥㠲摡㘰戴㌶㙣摤㕣㘳搵㐶挳㠱㘰㕢㝦㜱㙤㔹戰慡㝣愰㌵㘳㘴㘸戲㔵㜳戳㔵搶扥㔳㔹愰㜳㝥㠷捥㕤扡㔴㜶敢㤶㕦晦ㅡ㈸て㈹攸㕤ㅣ戶㉡㈳㍦㤵收㉦愸㌹戴愰㜷敥㄰㉢晡㔳㘹晥ㄲ㥡㤰㉣っ㔵〷慡㙡㝥㈲搱㌴㕥搳づ㠵㔶㜹ㄵ㉦扥㘵㠵慢㙡㈶攴㘲搸㤷扣搱㌸捡换〵愷㈴㄰㉥戰㠲挱攱㔶㈵㉦㜸㠳敡㔱ㄱ慢愰㌶ㄲつ㔵て〹㔴㕢昵慢昹〶㕡㘱慢愶摣㡡㌴愸敥㌳扤摣ち㉡㜶㈴愳ㅡ愷㤲㤴捡攰㘷搵昱㡢搸扦挲慡㠹㔶㐵㘷㘴㔱㘸㜸愰㘶㠲㐵㑡㕡㜵㔱㙤㔵㐵㔲㙡慡㐸㑤㑤㑡ㄱ搷㌹㡤㉤㜶愹搴㠸㘲㌱㉦㘱㥤㕣㕣㌲㉣㝥愴㥡㕦愶捦㙢㌶㜴㑡㜴愰ㄵ慥戱㠲慡〴㉦㘶㥢换㜸戱昷㈸㝥㈹晥昹㘶㘹㐳扣㔰愲㥥晡晢愳ㅢㄶ㑡㤲㝥㐲づ挰㜷㉤㈰戵㑦愷㉥㜹戲㌹晢㕡〰㐴敡㘹晣〵㥢㈷昱慦㈸戹㌴㤰㕣㕡㤶㕣㕡㥥㕣㕡㤱㕣㙡㈵㤷㔶㈶㤷㑥㐸㉥㥤㤸㕣㕡㤵㕣㍡㈹戹㜴㌲㌸晡㤵㤱㥥㥥慣㕥㉢㕢㡦㝡敤挸㕦扥敡戳昳㔷つㅦ昸晣㐸㠱㈵昸㐷换㉢㥤㈴㕢ㄲ㕡〱㝣搷〳㌰㠸扣㝣昹㉢昶戵〶〸㜱っ㠳攰㐰挶づ㕣晡摦攳〳㔹㠵摢㔷㜴挸捡㤸㝡攱㠴攰㕦㝣㕣愱㉤搹敤〰扥㕣〰ㄵ扡挹ㅢ搸搷ㅥ㈰挴㝢㑡㈱昹搰ㅦ摥昹昶戹㝢㡢㌶っ㍥戸晥愳挱㕢㤶ぢ㝥㕤挴ㄵ㍡㤲摤〹攰敢っ攰ㅢ搱㑤㜶㘱㕦㔷㠰㄰㙦㈹㠵㈳㈳昳㈶昴扥㘱㘹扦㠷ㅥㅥ㕡㌸散挱㌱㝥挱敦㥡戸㐲㍥搹摤〰扥敥〰㈸攴㜷㤴㌷戲敦㈶㠰㄰慦㉢㠵攲慣㥡ㄱ摦挹ㅥ㠳㜷㑣晢㜴挰㕡搱昳㤸攰攷㌶慥搰㠳散㕢〰扥㥥〰扡攸㈴㝢戱慦㌷㐰㠸㔷㤴㐲㕡㑥捤戰㙦㘷㤷昴摥晣攵㜵晢昷摥摢昸㍦〴扦攵攲ち㠵㘴昷〱昸晡〲攸愲㡢㉣㘲㕦㍦㠰㄰㝢㤵挲敦慤敥攷て㝥摢㘸攸收挳㘷愷昷捥㑡捥ㄴ晣㡡㡣㉢っ㈰㝢㈰挰㌷〸㐰ㄷ㥤攴㘰昶つ〱〸戱㕢㈹攴慣㑢㝢㜵㐲改て㐵㕢摡㥣散搲扤搷㍤㌳〵㍦ㄹ㜱㠵㘲戲㠷〱㝣挳〱㔰攸摡㕥㡥㘰摦㐸㠰㄰摢㤵挲昶㜷昶㘷捥㍣㍤戸㘸昷晡愲攱愳㐶戵戸㑡昰换㌹慥㔰㐲昶㘸㠰㙦っ㠰敦㐳㘷㜹㉢晢挶〲㠴搸愴ㄴ捡户戴㘸搴㝡捣㙤〳㔶㍤㤶㜶㝦晥㤲挳挳〴扦搹攳ち户㤳㝤〷挰㌷づ挰㌱㜴㤲愵散ㅢて㄰㘲㠳㔲昰慦晣攰愶攳㐵晢晡㙤㌸戶昶㡡敦摥㕣戳㕦昰戶㄰㔷㈸㈳扢ㅣ攰慢〰㐰㈱扦扤戴搸㔷〹㄰㘲戵㔲昸戱昱戹つ㙤ㄶづㅦ昰㘲昵て㌷扣昹挸慣慦〴敦㈹㜱㠵㠹㘴㔷〱㝣㤳〰ㅣ㐳扥攴摦㠶っ〲㠴㜸㔴㈹㌴㙣摣攴愱戱㙦昷㉣㝣敡㠹㍤摢搶捦㉡っ〹摥㤰攲ち㌵㘴㠷〰扥㈹〰㈸攴攵挹㍢搹ㄷ〶〸昱戰㔲搸㌳敥㘴户㍦㘷㝤㕤戸㙡搷㠸挵㑢㥢敦攸㉢㜸㌷㡢㉢㐴挹慥〵昸愶〲愰搰愵戳㥣挶扥改〰㈱ㄶ㈸㠵㠲搵捤㝢昵㙣㤷摣㘷昷挱㘶慢㡥昵晦慣愵攰慤㌰慥㌰㤳散㔹〰摦㕤〰㉡㜴㤲戳搹㜷㌷㐰㠸戹㑡攱㤶㤳昳晥摡敤搸昲㐱㉦㕥户㘹捦㠱昹ㅤ㈳㠲昷搱戸挲ㅣ戲攷〲㝣昷〲昸㍥㜴㤵昷戱㙦ㅥ㐰㠸㔹㑡㘱㔹晡ㅤ攳慥㠹㙣㈹㝡戹敤搳㕢㑦扤昱挷扢〵㙦挲㜱㠵昹㘴㉦〰昸ㅥ〰㔰愱㡢㝣㤰㝤ぢ〱㐲搴㉡㠵捡㑦㕡昴㈸晣收晢㍥昳摥㉦㜹㝦晥愰戲慥㠲㜷昰戸挲㈲戲ㅦ〶昸ㄶ〳愸搰㔱㉥㘱摦㔲㠰㄰㈱愵戰㝦敥昵捦㠴扢㈵ㄵ捤㜹㘹㘲㌴㙤㐵攰愲攰敤㍦慥戰㡣散㐷〱扥攵〰㈸攴㜵㤱㡦戱㙦〵㐰㠸㉡愵㈰昷晥攷挹㉦づ晤搰㜳改散摡㉢㑢挶晤㈵㈰㌸㜷㠸㉢慣㈲㝢㌵挰户〶㐰㠵昶㜲㉤晢搶〱㠴㈸㔷ち㤱ㅦ㕡扤扢敢摤㥥〵㝢ㄶ㙤ち㝥㝣昴攳㜱攲㑡愴攳ち㡦㤳扤〱攰㝢〲㐰㠵慥昲㐹昶㍤〵㄰攲づ愵㌰戴㜰晣㈳捦㑣㤹㍤攸㔱㌱敦扢ㄷ㡥㍣昳戴攰慣㈵慥戰㤱散㑤〰摦㘶〰摦㠷捥㜲ぢ晢戶〲㠴ㄸ慤ㄴ戶㡥敡戶昸散㈷慦ㄵ㙣㑡摥㔸㌶㈴㜷㑦ㅢ搱ㄴ改戸挲㌶戲户〳㝣㍢〰㔰挸敦㈰㜷戲敦㔹㠰㄰挳㤴㐲挳㈵搷慣敦晦昴挲晥〷㜶㔶敦㉢㌸户慤㔲㜰扥ㄴ㔷搸㐵昶㙥㠰敦㌹〰挷㤰㈷㥦㘷摦ぢ〰㈱〶㉡㠵慡㝦ㄴ晤昵挷慦て昵㝦㍣晤㡢㈶㌷㙥㈹扣㍦捤㡦㜴摤敥扣㍥㌰晤〵ㄳ㐳ㄱ慢㈶㜶㈷㙥㔳㕤㕣㔵㍥搹ち㡦戰㌸敢戴㉡㐶㐴〳㔱敢攷挶搴愰捤搰㥡㠲㠹扣搹㔷㕣㙢昶㔶昶㤹ㅥ戵㙡㉡慣㡡攲㜰㘸㡡ㄵ㡥捥ㄸㄹ㈸ぢ㕡㡤㉦愱昴挲㌴㜶慡㠵挴㔵㤷㜴昷つ㤵搷㐶ち㐲㌵搱㜰㈸㜸㘹愶㔷挵搴〰愶㈳ㄵ㠳㐳ㄵ㔶㔲㑡㡡㄰㐹挹㡤搴㙤戹捦㔴㑣㍥晡〵㙡㉡㠲㔶搸㜳慡㉣㌸户昰㘵攲㤵㤴挶㥢㜷攲搳㡣㘴㥣㈵㘳戳ㅡ捣㐱㈳㘹搵㝤㐳攱㐸㑡㡡㔳搱㝥㠱挸挴㈸㝤㝢㈷愹户㠷戰ㄷ㤰搶ㅣ㔰㤷㔹っ㍦㤹㈲㈰捡㐴戹愸㄰㔶㝡㌵㘶㌹㠳㈷㠴搳㘲㤳户戴敡㐲㉢㔲㉥㌹㍢敢㡦㡢㌰摤㠷㈸㔸㡢㌹ㅤ摦㔶㙢㝡戴㌰㄰つ愴㔷ㄷ〷㌰扢㡢㌶挰㠹攰戵㔱〲昵昵㘱㙣ㄲ愸て㈸㤷慤て戴㙡搶扦㍡㈰摥㐸ㅦㄹ㌵晥愹ㅤ㉦㈵㘳㜵㈸ㅣ㡦愸㥡ㄵ敢搳㤲㤹敡〸㝡搹戱搰㄰慢ㄷ敢㠸㉢挱㍢㍥晦昸〰㈴愵㘰㘶ㄹ晢㈷㡥㍥扥扣摦㍥㡣ㄳ㙦搴㉦㈰㤰攱昳扣㌰㉤㉥㥢㈳挶收㤲攵㘵愳愲㔵挱㐸㉥〶㔳ㄴづ搵㑥愱捥晦㜷扤㥦㙡摣ㅣ㝢晣昵挳㐵敦㝦㍦㍢㤸㈹慦〵挵昷㌲㜹昸㥡㔱㝣㝣㘸昷愱㈳㌳㥥㤵捣摡㤳戱㌳㕤㜲㘹㉤㜰㑡㈲㤳㜱㑥㕣敢㔷て㉤㉦ㅢㄹ戶㘲㍦㌰㌲㘲〷㌳愶㔸㔹搵愳㐳攱挹㘵愱搰㘴㝥挲ㅡ挴㡥㈲ㄳ㉤㉢捡㈹㝢㍤昵㈳㠵戱㄰㈲㈵攵㤲愹戹㌱户晦㈵昴㝤慦〲戲㝡〵㠳㝥慤ㄸ昱扤挶㝥㝣㈰㜰摤㝤慦㈳敥㌴㌸㔰ㅥづ戵挳㉦搷昲㠹㠱㐸戴慡扣㕤晦㥡㈹戵搱㐸扢昲㔰昵㤴愰ㄵ戵摡搵㔸搱㘹ㄸ㔰扢㙡㝣㕢〵㜳愷〷㈳搵攲㈶昵〵㍤㌳㈵㌵㙤挷慢昷っ摣搰愰㘶㘷㜱㡢攴捥攲㐶㤵戰捤昴㕢愲㤴㥦愵㘳摦㔸愲ㄵ挲ㅣ㌴㜹㠸㜰ㄸ㈰㌸摢攷㜷㐶晣㔵㤷ぢ㜹㍤愸昶换㜱〴扤戸㡥ㅥ㐹慦㥣㘸㡤搳㜹㉤㈵摦㍢挹㜷㑢昲㙤ㄲ㙤摤㉣户㔱〹摢㑦㤳戶㌸捤㡦愶㉣户㐳ㄸ戳㝣ㅣ㠱㍣〱㄰晣㜹㤲㤸攵㕣㥥㙢晢㜴㥥㐲㉦㉣㝢㈴扤㜲愲㍤㑥㜷戲摣捣捤昲搵㉡㘱晢㉤搵ㄱ㑡㝥㌴㘵戹ㄳ挲㤸攵㌳〸攴㔹㠰攰敦愹挴㉣㜷收戹㌶换攷搰ぢ换ㅥ㐹慦㥣攸㡡搳㥤㉣搷㜷戳㕣㑦㈵㙣㍦晥昲愱攴㐷㔳㤶扢㈱㡣㔹㍥㡦㐰㝥て㄰晣〱㤸㤸攵敥㍣搷㘶昹〲㝡㘱搹㈳改㤵ㄳ晣〹敡㘴昹敦㍦挶㝦㕡摢晥㤶晦愶ㄲ戶㕦慢㍤愰攴㐷㔳㤶㙦㐱ㄸ戳散ㄳㄸ㜶㍡㐰昴㐲㔷㘲㤶㝢攲っ扢攵㑣㠸挱戲㐷搲㉢㈷㝡㐳搴挹昲㌷㙥㤶扦㔶〹摢捦敢㐲㈸昹搱㤴㘵晥扣捥㐱㤳㡤㌱㐰搹〴㈰㡡㜰㤸㤸攵扥ㄴ戰㕤攵愶㄰㠳㘵㡦愴㔷㑥昴㠳愸㤳攵㑦摤㉣㥦㔶〹摢㝡挰〰㈸昹搱㤴攵㠱〸㜳搰㘴㑢っ㔰戶〲㠸挱㌸㑣捣昲㈰ち搸㉣户㠶ㄸ㉣㝢㈴扤㜲㘲〸㐴㥤㉣ㅦ㜵戳晣戶㑡搸ㄶ㌰㡡愱攴㐷㔳㤶戹㠰㤱㠳㈶扢㘲㠰㌲て㈰㐶攰㌰㌱换挳㈹㘰戳摣ㅤ㘲戰散㤱昴捡㠹㤱㄰㜵戲㝣挰捤昲㝥㤵戰慤戸㤴㐰挹㡦愶㉣㡦㐶㤸㠳㈶晢㘲㠰戲〸㈰㙥挵㘱㘲㤶挷㔰挰㘶㜹〰挴㘰搹㈳改㤵ㄳ㘳㈱敡㘴㜹㠷㥢攵敤㉡㘱㕢㈲攲挲㤰ㅦ㑤㔹收ㄲ㔱づ㥡㉣挱〰攵㘸㠰㈸挵㘱㘲㤶挷㔱挰㘶㜹㉣挴㘰搹㈳改㤵ㄳ攳㈱敡㘴㜹㥤㥢攵戵㉡㘱㕢搳㉡㠳㤲ㅦ㑤㔹㉥㐷㤸㠳㈶㉢㌱㐰㌹〱㈰戸慥㤵㤸攵ちち搸㉣㑦㠲ㄸ㉣㝢㈴扤㜲愲ㄲ愲㑥㤶ㄷ戹㔹㝥㐸㈵㙣㡢㜰ㄳ愱攴㐷㔳㤶戹〸㤷㠳㈶愷㘲㠰㜲ㅡ㐰㑣挶㘱㘲㤶㈷㔱挰㘶㜹㈶挴㘰搹㈳改㤵ㄳ㐱㠸㍡㔹扥换捤昲㉣㤵戰慤ㅡ搶㐰挹㡦愶㉣㜳搵㌰〷㑤捥挷〰攵〲㠰攰捡㘱㘲㤶愷㔰挰㘶㜹㈱挴㘰搹㈳改㤵ㄳ㘱㠸㍡㔹づ扡㔹㥥慣ㄲ戶㘵捥㈸㤴晣㘸捡㌲㤷㌹㜳搰攴ちっ㔰慥〴㠸㘹㌸㑣捣昲㔴ち搸㉣慦㠱ㄸ㉣㝢㈴扤㜲㘲㍡㐴㥤㉣摦敥㘶昹㌶㤵戰慤换捥㠴㤲ㅦ㑤㔹收扡㙣づ㥡摣㡣〱捡㉤〰挱戵搹挴㉣㜳㕤搷㙥㜹ㅢ挴㘰搹㈳改㤵ㄳ㜷㐳搴挹昲㈰㌷换〳㔵挲戶㤰㍣〷㑡㝥㌴㘵㜹㉥挲ㅣ㌴戹〷〳㤴㝢〱攲㍥ㅣ㈶㘶昹㕥ち搸慥昲㍥㠸挱戲㐷搲㉢㈷收㐱搴挹昲㑤㙥㤶㙦㔴〹摢捡昷㝣㈸昹搱㤴攵〵〸㜳搰攴㈱っ㔰ㅥ〶〸慥㝥㈷㘶昹〱ち搸㉣ㅦ㠱ㄸ㉣㝢㈴扤㜲㘲㈱㐴㥤㉣户㜵戳摣㐶㈵㙣㑢昵㡢愰攴㐷㔳㤶戹㔴㥦㠳㈶㡦㘳㠰昲〴㐰㜰戹㍥㌱换㡢㈹㘰戳㝣ち㘲戰散㤱昴捡㠹愵㄰㜵戲摣捣捤昲搵㉡㘱摢㕢㔸〶㈵㍦㥡戲捣扤㠵ㅣ㌴㜹〶〳㤴㘷〱㠲晢ぢ㠹㔹㕥㑥〱㥢攵㜳㄰㠳㘵㡦愴㔷㑥慣㠰愸㤳攵晡㙥㤶敢愹㠴㙤㌳㘴ㄵ㤴晣㘸捡昲㙡㠴㌹㘸昲㍣〶㈸扦〷〸㙥㠸㈴㘶㜹つ〵㙣㤶㉦㐰っ㤶㍤㤲㕥㌹戱づ愲㑥㤶晦晥て户摦换㉡㘱摢扤㜹ㅣ㑡㝥㌴㘵㜹〳挲ㅣ㌴改㑢〶愴〳挴㤳㌸㑣捣昲ㄳㄴ戰㔹捥㠴ㄸ㉣㝢㈴扤㜲攲㈹㠸㍡㔹晥挶捤昲搷㉡㘱摢㙥摡〸㈵㍦㥡戲捣敤愶㤸攵挶戴摣㠴㤶户愰㉢㌱换㥢㜱㠶摤㜲搳戸㘵㡦愴昴挸㠹慤㄰㜵戲晣愹㥢攵搳㉡㘱摢ㅦ摢〶㈵㍦㥡戲扣ㅤ㘱捣㜲㑢㕡㙥㐵换摣㈳㑢捣昲づ㥣㘱户摣㍡㙥搹㈳㈹㍤㜲攲㔹㠸㍡㔹㍥敡㘶昹㙤㤵戰㙤攸敤㠲㤲ㅦ㑤㔹收㠶㕥捣㜲㔷㕡捥愳㘵㙥敡㈵㘶昹㌹㥣㘱户摣㍤㙥搹㈳㈹㍤㜲攲〵㠸㍡㔹㍥攰㘶㜹扦㑡㕣扥〳㤹扡〷㑡㥥㥢㉤改㈰㘴づち〵㉡晡〶捡昱㌴㔸扡㝡ㄶ㉣愳〰换改搸愷ち㘷㜳㌳慤〰㑢改搸㔰㥣㕡㔵㘱㠵㌳搸㌱〲捦扡愵㜲ㅢ捥ㄷ摢攰㡡㘰㍦㈸㈵㈹㉤慤㕥㠶㔳慤晥㕡慢㠵挳戳㜴晤㙤晡摦っ换攷ㄲㅤ扥ㄸ㔲㠰戲㉦㉦㑥ㄱ㉦捥㕥ㅣ搲捦㘵㠴㝥㈴昴㈷㘱㥦㐱戸〲㜱㘶㈶㔱づ㈰㘱㈰〹㠷っ〲㐲㕤㘲㄰〹㠳㐹㌸散㑣ㄸ㐲挲㔰ㄲ㡥ㄸ〴愳㐴㌱〹挳㐸㌸㙥㄰㄰敡ㄲ挳㐹ㄸ㐱挲〹㘷挲㐸ㄲ㐶㤱㜰捡㈰ㄸ㈵㑡㐸ㄸ㑤挲ㄹ㠳㠰㔰㤷ㄸ㐳挲慤㈴㥣㜵㈶㡣㈵攱㌶ㄲ捥ㄹ〴愳挴敤㈴摣㐱挲㜹㠳㠰㔰㤷ㄸ㐷㐲㈹〹摦㍢ㄳ挶㤳㄰㈰攱㠲㐱㌰㑡㤴㤱㔰㑥㠲㑦㌸㕥捤ちㄲ㉣ㄲ搲㥤〹㤵㈴㑣㈰㈱搳㈰ㄸ㈵㈶㤲㔰㐵㐲㘳㠳㘰戸㤸㐴挲㘴ㄲ㥡㌸ㄳ㠲㈴㔴㤳搰搴㈰ㄸ㈵㙡㐸〸㤱搰搲㈰ㄸ㈵愶㤰㜰㈷〹慤㥣〹㘱ㄲ㈲㈴戴㌶〸㐶㠹㈸〹戵㈴㜴㌵〸㐶㠹愹㈴㑣㈳㈱捦㤹㌰㥤㠴ㄹ㈴㜴㌷〸㐶㠹㤹㈴捣㈲愱慦㐱㌰㑡摣㐵挲㙣ㄲ㡡㥣〹㜷㤳㜰て〹〳っ㠲㔱㘲づ〹㜳㐹㈸㌱〸㐶㠹㝢㐹戸㡦㠴搱捥㠴㜹㈴摣㑦挲㔸㠳㘰㤴㤸㑦挲〲ㄲ㉡つ㠲㔱攲〱ㄲㅥ㈴㘱㠲㌳㘱㈱〹て㤱㌰挹㈰㌴㠴㠴晡〲㔹㐴挲挳㈴㑣㌵〸㐶㠹挵㈴㉣㈱㘱㥡㌳㘱㈹〹㡦㤰㌰搳㈰ㄸ㉥㤶㤱昰㈸〹昳つ㠲㔱㘲㌹〹㡦㤱戰挰㤹戰㠲㠴㤵㈴㉣㌴〸㡤晦攵㘲ㄵ〹慢㐹㔸㘱㄰㡣ㄲ㙢㐸㔸㑢挲㑡㘷挲㍡ㄲ搶㤳戰挶㈰ㄸ㉥ㅥ㈷㘱〳〹㥢つ㠲㔱攲〹ㄲ㥥㈴㘱㡢㌳攱㈹ㄲ㥥㈶㘱㥢㐱㌰㑡㙣㈴㘱ㄳ〹㝢っ㠲㔱㘲㌳〹㕢㐸搸敢㑣搸㑡挲㌳㈴散㌳〸㐶㠹㙤㈴㙣㈷攱㤰㐱㌰㑡散㈰㘱㈷〹㠷㥤〹捦㤲昰㙢ㄲ㡥ㄸ〴愳挴㉥ㄲ㜶㤳㜰摣㈰ㄸ㈵㥥㈳攱㜹ㄲ㑥㌸ㄳ㕥㈰攱㐵ㄲ㑥ㄹ〴愳挴ㅥㄲ昶㤲㜰挶㈰ㄸ㈵㕥㈲攱㘵ㄲ捥㍡ㄳ昶㤱戰㥦㠴㜳〶挱㈸㜱㠰㠴㔷㐸㌸㙦㄰㡣ㄲ扦㈱攱㈰〹摦㍢ㄳ㝥㑢挲慢㈴㕣㌰〸㐶㠹搷㐸㜸㥤〴ㅦ挰攱敥晦〶〹扦㈳㈱摤㤹㜰㠸㠴挳㈴㘴ㅡ〴愳挴㥢㈴扣㐵㐲㘳㠳㘰戸㌸㐲挲摢㈴㌴㜱㈶ㅣ㈵攱ㅤㄲ㥡ㅡ〴愳挴扢㈴扣㐷㐲㑢㠳㘰㤴㜸㥦㠴て㐸㘸攵㑣昸㤰㠴㡦㐸㘸㙤㄰㡣ㄲㅦ㤳㜰㡣㠴慥〶挱㈸㜱㥣㠴ㄳ㈴攴㌹ㄳ㑥㤲昰〹〹摤つ㠲㔱攲ㄴ〹愷〱搹㝤〱㝣㘵ㄷ改愰㥦づ晡敢㘰〰〲ㅦ㌸扥㑦ㄱ㘴ㄷ昴㉥扤攴㌱㜷摦扦愳户㕥㘹晣挱㡥㤱㜸㡡挴昷㝢㜴㘴㤵挶ㅦ㠴㡦㑦㉡㝤㝦㐰㔷㝤㥣ㄹ㍢挴攳昲ㄱ摦㘷攸㘹㠰ㅥ攳挱㌵摦攷攸扢〲㝤㤷㍥つ㥦㍤㄰摤慣㥦㈱昰㍦㌱㄰㈷㘵挶ㅥㅡ㤷㝥㠴昲ぢ㜴㘴て㘲㉦㕥搹㠳㜵㌰㐴〷㐳㜵㔰㡣㈰收攲㑢〴㜶ㄷ㘷搰㝢㠹㡢戳攸戸捣挵ㅦ搱㜵愹㡢慦搰㜳戹㡢㜳攸㜳㜰㌱っ摤㤷戹㘸㠵㈱挷㥦㍦晦ㄳ㤲搹挳〱㝣㘵㡦搰挱㐸ㅤ㡣搲㐱〹〲慡㐸扡㤰ㅣ戴攴㐰㈵㠷㈶㌹ㅡ挹昲搹愳〱㤷ㄵ攳㔳㈰戲㉤攱㍣ㄹ㘳〰㝣㘵摦慡㠳戱㍡戸㑤〷户㈳㠸ㄵ攳㠵㤷扣捥㤲搷㔶昲㙡㑡㕥㐰挹㉢㤶㝤〷攰戲㘲㥤愰㉣㍢ㄲ㉥㤲㌱づ挰㔷㜶愹づ挶敢㈰愰〳捥㈷敢攰㡣㌳捥换㡡㜵㠳戲捣㈷㘴攰㜷㐶㜶㠵㔶戴㜴㔰愹㠳〹㍡㤸㠸愰づ捥慡ㄴ捤昸攴昱〷㡤散㐱戸㠲挵㈶㘹挵挹㍡〸敡愰㕡〷㌵〸敡㔰㉣愴㘸㐶㌱敥昶换㐲㐲㔳ㄶ㥢愲ㄵ敦搴㐱㔸〷ㄱㅤ㐴ㄱ搴攱㙤慣㔵㌴愳ㄸ昷搹攵〰㐲㜳ㄶ㥢慡ㄵ愷改㘰扡づ㘶攸㘰㈶㠲㍡㌸㥢愵㘸㐶戱㘱慣㔳㑣㘸换㘲㜷㘹挵搹㍡戸㕢〷昷攸㘰づ㠲㍡ㄴ㥢慢㘸㐶戱搱慣㔳㐲攸挲㘲㥣愹昲㤵捤搹㙡㉣㤸愷㠳晢㜵㌰ㅦ㐱ㅤ㡡㉤㔰㌴愳ㄸ㜷㜵㈵㜷㝡㘵てㄶ㝢㐰㉢㍥愸㠳㠵㍡㜸㐸〷㡢㄰搴攱㥡㍤慣㘸㐶戱㜲搶㈹㈳ㄴ戱搸㘲慤戸㐴〷㑢㜵昰㠸づ㤶㈱愸㠳戳㐷ㄵ捤㈸挶㥤㑣㌹㤱㔰捣㘲换戵攲㘳㍡㔸愱㠳㤵㍡㔸㠵愰づ挵㔶㉢㥡㔱㡣㝢㠸㤲晢㡡昲㔶ㄶ㕢愳ㄵ搷敡㘰㥤づ搶敢攰㜱〴㜵㈸戶㐱搱㡣㘲摣扤㤳摣搱㤳㘵㉣昶㠴㔶㝣㔲〷㥣捣昲㤵捤〹㙤㉣搸㠸愰づ挵㌶㈹㥡㔱㡣晢㘶㜲㈶㘱㌲㡢㙤搶㡡㕢㜴戰㔵〷捦攸㘰ㅢ㠲㍡ㄴ摢慥㘸㐶戱戹慣㌳㠷挰晦攲㤸扤㐳㉢敥搴挱戳㍡昸戵づ㜶㈱愸㐳戱摤㡡㘶ㄴ㕢挰㍡昳〹戳㔹散㌹慤昸扣づ㕥搰挱㡢㍡搸㠳愰づ挵昶㉡㥡㔱㡣扢㌴㜲㔱慣㈲㡢扤愴ㄵ㕦搶挱㍥ㅤ散搷挱〱〴㜵㈸昶㡡愲ㄹ挵戸㍦㈲㤷ㄱ㤶戰搸㙦戴攲㐱ㅤ晣㔶〷慦敡㠰昳摤㍡ㄴ攳㡣㤸㌴愳ㄸ㜷㈶㈴㜷㉢攴㉡ㄶ㝢㐳㉢晥㑥〷㠷㜴㜰㔸〷㙦㈲愸㐳戱户ㄴ捤㈸挶㍤〱挹㝤〲昹㈴㡢ㅤ搱㡡㙦敢攰愸づ摥搱挱扢〸敡㔰散㍤㐵㌳㡡㜱㌵㕥㙥㈴㙣㘳戱昷戵攲〷㍡昸㔰〷ㅦ改攰㘳〴戱㘲㕦㈲㜰㥦昰ㅣ㔳㌴愳ㄸ搷挱㈵搷挶攵昳㉣㜶㕣㉢㥥搰挱㐹ㅤ㝣愲㠳㔳〸敡攰散戴愲ㄹ挵㜶戳づ㔷愵攵〱ㄴㄳ㕦㠰攱戴散摢昳敦㉥㕢㌸户愸㠴敤昱攵㍦戹㈸摤攸愶搴㕤㈵㙣㑦〵㥦㜷㔱敡敡愶搴㐵㈵㙣て摢㕥㜴㔱敡攰愶搴㕥㈵㙣捦戰㜲挲收昴㍥戵㜵㔳㙡愳ㄲ戶㐷㐳㌹ㅢ㜳㔲㙡攵愶搴㔲㈵㙣㑦㕣㜲慡攵愴㜴慤㥢㔲㡥㑡搸ㅥ㘴攴㍣捡㐹改ㅡ㌷愵㘶㉡㘱㝢㍥㤰㤳㈴㈷愵㉢摤㤴㥡愸㠴敤戱㍢捥㠰㥣㤴ㅡ戹㈹㌵㔴〹摢搳㙣㥣摥㌸㈹㌵㜰㔳捡㔲〹摢㐳㘲㥣扢㌸㈹㐹㌷愵っ㤵戰㍤㝢挵㠹㠹㤳㔲慡㥢㔲㡡㑡搸ㅥ㘹攲慣挳㐹改攲摦㕣晥㠲㝦㔴〹摢㤳㐲㥣㔲㌸㈹㕤㜰㔳晡㕦㤵戰㍤㠰挳昹㠲㤳搲晦戸㈹㝤愷ㄲ戶攷㕡㌸ㄹ㜰㔲晡戳㥢搲㝦愹㠴敤㜱ㄱ摥改㥤㤴扥㜶㔳㍡愷ㄲ戶愷㌰收扢㈸㥤㜱㔳晡㔲㈵㙣て㌷昰ㅥ敤㌴愶捦摤㤴㍥㔳〹晢㌳〳㉥㑡㥦扡㈹㥤㔶〹摢㔶㍣敦慥㑥㘳㍡攱愶㜴㕣㈵㙣㍢摣扣㜵㍡㈹㝤攸愶昴㠱㑡搸㌶㡥㜹㕦㜴㔲㝡挷㑤改愸㑡搸昶㘳㜹搳㜳㔲㝡搳㑤改戰㑡㕣扥捤㔹敦晦〰ㄴ㥤ㅤ㘳</t>
  </si>
  <si>
    <t>㜸〱捤㔹摤㙦ㅣ搵ㄵ摦㤹摤ㄹ敦慣搷昶㈶づㅦ〹㄰っ㈵㠴攲㘴ㄵㄳ搲〴㘸㤴搸敢搸㌱㌸戱㘳㍢〹㤴愶㥢昱敥㥤散㤰昹㌰㌳戳㠹㕤㈱搱扦㠱㍥㔴㔴㔰㄰攲〵㕥㜸慢㄰愲㐲慤㉡戵慡搲㌷愴戶㔲ㅦ㄰慤挴㐳㔱㐵搵㍥昰㐰㐵㝦扦㍢戳敢摤昵㝡ㄳ㑣㉡昹㕡㍥㝢㍦捦摣㝢扥敥㌹攷愶㤴㔴㉡昵㌵ち㝦㔹㌲慣摣扢戸ㄶ㐶挲㉤㤶㝣挷ㄱ㤵挸昶扤戰㌸ㅥ〴收摡慣ㅤ㐶㘹㑣搰换㌶挶㐳慤ㅣ摡㍦ㄶ搹昲㌵ㄱ㠴㤸愴愵㔲搹慣愱㘲㥣㐸昸㕦㘸㌴っ慥捡㘷〰㤶㑡ㄳ㜳换㉦〰敢㘲攴〷攲挰挸㠵㜸敤昱戱戱攲㔸昱昰搱㐳挷㡡㠷づ㡣㤴敡㑥㔴て挴㜱㑦搴愳挰㜴づ㡣捣搷㤷ㅤ扢昲㡣㔸㕢昲慦ち敦戸㔸㍥㜴㜸搹㝣晣搸搸攳㐷㡥㔸㑦㍣㜱㉣㡦㑦愷捥㤶㈶收〳㘱㠵户ぢ愷㑥㥣㜳愵㠹攲㔹ㄱ摤㉥㥣㝤挰〹㤴㤳扥㙢摡摥㙤㐲慡㤱戶㠷㈷㐵挵㈶ㄳ㠴〸㙣敦㑡ㄱ摢㙥㈳㌴㕡㐷㡢㔳愰㜸挵っ愳㤲㜰㥣〵㘱㜱㌳㜹㤷㌴ㄳ㠱昰㉡㈲ㅣ㜴㑦慤㔶㠴㤳っ㠷㔹昷㠲ㄹ㥣㌵㕤㤱㘱㘵挸㡤昹㌶㔳ㄵ㕥㘴㐷㙢〳敥昹㔰㉣㤸摥ㄵ挱㈹㥡㍢㕤户慢㤹㡣㤲挹愴搲晢扢㙤㐶昲愶㌸ㄵ㔴㑡㌵㌳㠸㘴㡢㕣ㅢ敢㌶户㐵㐲攴挶摢戶㐵㈹ㅡ改㔸㐵㌶㉤摡敥㌳㈲昰㠴挳㡦㤰㜹愳ㅤ㤳㈴㑤㘲搲㌷㠹搳㌸つ㘹愱昴㈷㜲㉦㡦㠲づ㈳㑢㘰〰攸㌹〰㙤搲昷晣挰攸㘷㘷ㅥ㐰挹晣ㅢ㥡搳扡㠸㐳㙡搹㔴换换㙡戹愲㤶慢㙡㔹愸㘵㑢㉤㕦㔱换㌵戵㙣慢攵ㄷ搴昲㔵捣㘹㤴㙣㕦㥦㥡㤴㐷ㅥ扣㜴昹挴慦㔶㑡敦散摥晢搱㐷㙦㍥㌳㥣ㅦ挴愴㜳挹㠶㈶〳昳㍡戸扡㉥㌰㡦ㄵて昱敦收㥡〲㐵戱㡥㔸㐷慤戱戱敡㤱㐳收㘱㔳攳㤱㙥㤵㍦扢㌰㌷㙦㕤戴扤慡㝦㕤㌲㉣㙦㑤搹㑥㈴〲搹ㄸ戲昰ㄳぢ㥤㙣て㔸愷㔶愱慤㤵㤸户扢慣㤲〸㈲㐸㜹戴戶捥昰㝢㈷捣㔰慣㌷㐷ㄳ摣ㄳ㝥摤慢㠶昷㜴ㅦ㕣㡣捣㐸散改ㅣ㕢㐷戲㘱搹㈲㌴㐰㠴㜲㑢㝢㍢㤷㕤㌰㥤扡ㄸ㕦戵攳攱晢㍡㠶愱ぢ晥昲收愳㔳㠱㜸戱㌹扡㘱㐷攳㌰㤴搷㈴敥つ愷㡣㠷攲㝤㡤㤴㙡㝥㈸㍣戹扤㔱㜷摥慥㕣ㄵ挱愲愰㤹ㄵ㔵㜹搴㍢㌸㤴㈸攴攸㥣㠷㠳㐲挵慡て戶昶㤲搰挲慢㡡㉡昶扢〲㉡慦㉤㤹换㡥戸戳㙤㑡晣㑤っ散㙥敢㥥昲㉢昵戰攴㝢㔱攰㍢敤㈳攳搵㙢㈶㡣㐰昵㡣㕦ㄵㄹ㔹㔲㌱㔴㔲改戴愲愴ㅥ改愶㑤挴ㅤ㔲摦㕡㠴㠴㕡摤㝢㜲㡢㄰㜱㜲㔷㍤㙤㘲㐶愵㐵挸㌸晦扢㍤㜷搲㉡㠴㥣㝤愸攷散㉥㐲捡㐵㜷户㉢㕥㜱〱晣〱ㅦㅣ㐱慤㔴ㅦ摡ㅣ攵扡㕣摥㘴愷㉤㕣攱慤捡搹㍤㠸㈶搱㌶㘵敦晦㍢㔹㔵㠷㤳搳㥦扡〶㔳㝦摡昴慡㡥〸㝡晡〴ち㜷㘴っㄱㄴ〸㜶㄰散㈴ㄸ〶搰㍥㠷㤹摣㤴愲㌴攷捡慡戲愶㕤户慢㔱㑤慦〹晢㑡㉤㐲ㅦ㝣㠹㙣㤶攴㕥挵晦㔹晣㝦〸㘷攲慦昴㉡㡣㍢〸敥㈴戸ぢ㈰㤷㑢改㜷攳ㄷ㐶摡搸捤㥦㍤〰㐳㡤扢㙥㈴㤶捣㕣㑡愳ㅤ晦收户つ㍤ㄸ㐳㕥㙥昰㍥㐲捤〵摥㌰㥤敥㐶㡤搳㘶㔸㡢愸㠸㍤〷㜹㕣攳ㅥ㠲㝢〱昲昷〱㥣㍤㉤ㅣ愸昱敤㜲㕣㌴摥㐲㌷扤㈰挹㥤㍢摤挵㌵慦㔲ぢ㝣て㙥摣愴ㄹ㤹攳ㄵ㜸〱愱㘲敡敥慣㕦慡㐷扡㝢摡挶㑦摥㕤㄰㉢挲㡣㑡㌰搳搱㠰㍢ぢて㐲摡搱㤹敡慡收挶㤷晦愴〸㉢〶扤㠴ㄹ㤸愵㔵ㅤ㌵搸搹扣㑢㐳㈳㔶㈳愲敥㜳攷㑤㜸ㄹ㤱㠱㐹愳㜲㔵㕣攳捡〱搹搷㔸㥤㑢㕡挰㔰㤰搵ㄶ㉣晤戲㈳挶㤴㈲㈹㔳戰㑣愹㜴㈶㠱㥤ㅡ㜴㍥戲㥤戰㤸㤰户㌸改挳㡢ㄴ搲㤱㈵搹㜵ㅤ〲愶昷㘴㔶愷愲搳捤㤸慢㉣挷㘸戱㤵改挰慦慦搰搵戸㕤㜸㠸㉢㘵散〵㜸攳㕦敦㍥戵敦昵昷扥㑥㝥㕦㠶ち挹㘲搰ㄳ㌱㈸敦㙣攲㐷ㄶ攳〱晣攴㝡㡤㘹昴㔸扡㕡摡㑤㍣㈲慡㜴摥挵㘹㤷〲㈱㕤扣慣㙣慣慤㠸〱昷愲ㅦ㕣㕤昶晤慢㘴晥愰㙣㠵㌵㈱㈲晡㑤晤㠹㥢挸扡愲㈸改㜴㥢㝦搴攲㘰搱攳搲昷〱っ㡣㍢捥㐸〳㘳愸㍦㡣慥㌴㍤戸晤愸ㅣ㍥㘳㔶〲晦㈰㘲㠵㑡つ㘲㘷㔷づ捥㜸㉢昵㈸㍣㔸昱摤ㄵ㐷㐴攲愰㈷愲敢搸捤㐱ㄷ搷㤶㔳㕣㜵㐲㔷昹㌳〸㐳捦散攸㤹㥦ㅥ晣攴昸㘷攳敦㉦愴晥㜶散慤户晦愳晣㈹ㄹ攸昴戵㌴㕡慥㑥搹㤱摥㘲昳ㄶ㙡戹摦㘸㤳㜴敢扣㘷㐷㘱扦㌵㕥㡦晣㈹㍢㥡っ愳扣〵㠰慡㕣戲㐷ㅡ散㤶㐵愳搶〵㕢㕣㕦〲昵敥摦㌸〴㐷扡㔴て㈳㕦慡挵摥㡤攳㤳晥㔹㍦㥡戴挳ㄵ挷㕣㝢愸换㜰㍣㜲戱㈶㍣㜸㄰〱ㅣ㠹㥢㑤昲㔷㔶㐴戵换ㅥㄷ晤㝡㔰ㄱ㌳㤳摢挱〷㔱㘲晤㑥㐱㠴愰摤捡扥捤敦摣ㄶ扡㔳㘸㔵㠸㥤戲挵㉢㑣摥㈳挶㈸戰㈰㝥㔵㜰戵ㄸ〷㔰挵つ愳昱㕥敢㉤㈲㉤㕥つ㉤㜰捥〲㕢攳扥㠱挴㙤㥥昱㐲扢㉡㜲㐹敢㡣敤つ㈶搵㌹㠸㜴敢㠸戹㍡㥣㡣㐰㌷收㍣戰扥㘲〶搵敤挰ㄵㅣっ㈵㘶㠹愲攳㙦㙢㠴㡥搱愴㔲㕦㌴ㄲて㕦扣っ昳㜵㄰摤愴㌵摤㠷慥愶慡愹㡥愸戴㌸㠵㔴摦〱㤲扢搹㥤㘵敢㡣㌰㍤挹㠵挵愸㍡㈹慥つ捡ㄹ〲〲㡥昸搵ㄱ挳敤㑤㜹㘳ㄹ搶昸㜲攸㍢昵㐸っ㌶㙢㔲搱つ㙢㐱㌸㈶ㅤ晣㝣戳㌶㕦㠹㄰〲㌵昱搱㜹摦㍥ㅣ〲㐵㌲〹㤷ㄴ挹㈷扤㠷昰戶ㅦ㠲㍡戴㐵慥攲㉥戶㘴昹攷〹攵攷慦戲扣㜳㈲搵愸攴㔸㔲ㅡㅤ㡦㕢昷攰愹㐹挳㡤挰㌲戶㜰搲㜸攵ㅢ㝤㜴㥥〷㉣㘹昷㄰㈱㌳㜵㌱㐴搵㜱㤰㔷挲㜵㘱㍡捥摡愰㌵攳㔵㥣㝡㔵捣㥡换挲㘹搸㙣㍦㜰户〹扦㘴捡㉤收㔵て扡㈴㘱捤っ昲㙥㡤㜸㘱换㘶㉥㘵ㄴ㐱㔶改㐴〰㐷捥㌸㠴ㄶ㔹㐳㘷晤ㅢ㠷㑢昴㐷㜶慥〷晢㌲㈳〴搳戶愱㡢㌶㡤慥㘳㌳攲㤲ㅡ搷㌲㙤搶㥦昵ㄱつ㔷㕢扡㑥摢㜱搷戶搱㉢挹㈶㕤搷户㝡挱㠰㔶㈸㕦㈴㝥ㅢ㡣㕥摣㍥㐱晡㤳〳㡣㙣㍡㥤捥ㄶ㐷㐴摥晤搲〸昲㍡ㅡ愲〵㡢ㅤ㠷㈵㍢㜲㐴扦㈵挷㘵㍤㑢㤵㈰㌵晢慣愵ㅡㅣ戸挹〱㙢㍡戰慢㡥敤〹㍡㈱挸捥㌰ぢ㌷㉢慥㈰㡦㌰敦㠷㌶㤳扣〳搶㔲㘰㝡攱ち晤昴捡摡捥戶㤶㘴㤶㘶㑤搸ㅥㄴ㈸晥㈶敢㐳搶㘲捤扦㡥㍣㜱摤昵愶捤㤵㜰㕢㌰㡡㌱㘲㕣㘲慤㔲ㄵ㔵㔵戲㙡㜶慢㜷㤵㜴慢改㄰愴ㅥ〳㕡㤵㈰㘱ㄷ㘳搰ㅥ㍡㑢㑥㈵㤹ㅣ敡㉣昷搵㤶㙦敤ㅡ㐶㌶ㄳ敤戴挳〶㍦㤶㍦っ昰昴昴昹㤹昵晣摦户捡㤶㙢㡣㥡㝢㕣〷㔲㌴㥡挹〶㡡攴㘰㉣㉥散愳昴ㄸ㤲敢㙣㜵㡡㘰捥㤲㜳㈸㡤戸㐱㌹㥤搵㈹㠴㠱㜹㈸㍦捣㉦挲㘷搸摤挱戸㐱㤷捥㌵㥤㌰ㄹ㉢昹慥㙢㔲扣㈸㥡㡢戰摤㈲㉢晤㙢㔸ㄳ挳〲㤰㌲㤸㜴㤹慢攸㌲㔷㘵ㄷ慥㘴㈶㄰㘵㥤戸晣㉢㘶㘰㐷㌵搷慥㘴搹㘰㤲㙦㕢挸㈵㐴㐸㠶慣㈰㈸㡢ㄴ㑥㌸慢㥤愱㝡ㅣ㕤㠲摤㐵挴て㈴ㅤ搹て改㔵攵㍤慥㙣㌱㍢〳昱㤵〶摦㌸〲㙣㥡㝣㤷㘱搰捣搲攲㠴愱㐷ㅡ㈲㠵㠹ㄴづㅢ摦㑢㉡㙣㘴㤸户攸ㄹ㌰㌳愸换捤晡㘶㜵ち㜹㘰㍦攸㑢㕥㜷戲㘰㉤捤㑡㔰㘰㤲愴㠴㔰つ㤹换㙢昰㜸㠳㉣㍢ㄶ㤱㝥挸㌰扤愲挷㍣㈴㙤㔲㥡搶㥦敤昶慤㤹〶慥㠷㤲㘰戲昵㤵㙡㘶〳晥捦捦ㅤ㠳㜵攵戱昸㑣㘲ㅣ㈵㌸〶愰㌰晤挲昳㜴㑣㜸㠲ㄳ㥥〴搰ㄸ㠵㜷㙡挹愶〹〵㈲搷㕣㈶㍡戲㉥㡦〳㤷㐳㐷晡〳〹ㄳ㤰㐴敦捦㌲攱㘰㍣〵昰挷ㅢ㌷㡥攳㈷愵㍣〰搰昸㍥㐳捡㕣㡥挴㌳扥㑦挰ㄹㅡ愳㤰㕢㡢㝡戸戰搰ㄲ㡡㔲㐷挳ㅤ搶戹扡改攰愱㘶づ晥㔰挴慥敤愰〴㤹搸㉢敤㝣㠱㘸㝦扦㐱㐰㈷㡦昰晣㈵收㐳㍡㘹搰㍥㌷㌹㕢挸㤹㕢昳㕡㜳摡㙦㤰ㄷ戸戵慦㔰ぢ晡慥㌱戹㔵㉥㈳改㠳ㄶㄹ㥦㌳㈸㘲戸扦ㄵ㐶㡢㔲㙤㑥愲搲㈸ち攳㥡つ扤ㅡ㝤戰ㅥ㤷㐷㠷挳挷昵挳敢愲㑥愳㌶敡昰㌹戶㥢㡥戴摦㈱攳晣㍣㝤扣つ㝢㔰㜸扤挸摥㔲㔲㤱㜲㑣ㄳ㜱㔳慢㐴㔳㠶㔰ㄶ昶㘹㌱㕡㜳㜰㈷戰捡㠴㔰㕣愳ㄲ挴挳搸戴ㅦ挰挹捤㜴愶㠰㥢㙢㈹晥晤扢㍡㔲敥㜲ㄹ㐷㘸晥戴て挱愲㑤搷昳〴敢㕣攱ㅡㄶ晤ㄴ挰慥㌳㌶ㄲ㐸愱㙦㐵㈳㡢昰㙤㐶昸〸㘳挱换ㅤ搷㍥〰挶慥摦攴挱㌲ㅥ摦㌴㈵愳㜳㔷㍤晦扡㈷㜷愳㠵㝣㡢㤲昴敡敢攳㘷攸晢捡昲ㅤ㔰戱㐰㔳挹挵挶㌴挰㐰扡㐰㕢挳㔲愰扤㘱㈹搰戸戰ㄴ㘸㘰㔸㠶㘸ㄲ㠸㠵愲㜴㕢㑢㠱㠶㠴摣搴㑦〳っ㤶㈶捡㉤摥㠸㍥㠳扥㍣晡愴扤㕤挰ㅢ㡥晥㌴㝡㜶愰愷晤㤱户㐰㑢㐴㉣敢㑦愱挶ㄹ㌴ㄵち扣㈴挴搹㘴〲㈷ㄵ㑥〲戰㈸攳〴昸㌷㑥〲戰戰㔱㈸〱㐸〲捤愳㌲㤰搶㐸愷愷㌶捦敢戴㙣㜸ㄴ摡搰昶攲㜵ち㉦㔸㙢扣挵搲戸㌷㌴㜹㡣㡣晡攴搶㜰搱搶搰搹㤲晦敦㐱㉣扥〵ㅥ㥥㜳㕤ㄴ㠹昱㝥晣ㅢぢ〰ち〹挷㉣慣戱㡦攰㘱㠲晤〰捡扢昸㘴搷㝣攵㍢挹㐰㘷扥戲㐰愲㑢㐲㍥㑢㈴捦ㄱ晣〰㈰愷㤱戰㡦㙥㑥㠵搸戳㕡㝦ㅦ㘵攲㐴戳愸戴晤㔶晣㍣㐹㕡挸〴㤵㈳㈵㍥て㈷㉢挰ぢ攵㉣攲〶戸㔶㜸㘲㑦攴〳昱〴㉦扢挶㌵㙥挸ㄶㄷ敢搶㕣㠰㝢扤捦㥡〹ㄱ㥤㔴戳㐸晢㐷㜸㌱昶戶挳攵〳ㅢ㤴愱捣㐰㙡㤸㔳㔴扢慡㍦昵扡昳摡㙦〹挱搶改搱〸挳㔵晡㘶㕢扢㝡昴攷昱戱昵愷㉡㘹㙦㐲㔵㜹ㅢ㝣愷㜹捡晤攳戱摤㕦㜳扢昰晦㔲挶㈵晣攸㍦〲㘰㜶㕣㤱攷㐰㠶搲㈸愳㈷昶散㘴昲㔲愳愸㜵ㅥ㡣挶㜸㡡㉢㍡ㅥ搹晡晢㜹摡愵㔷㍦㌸昹摦挳㤷挶ㄵ㑡ㄳ㜵㔲㜹〳ㅦ愷㈲搰㠶㘴㔵㕤愱㠴挹㠱㕦㈴〳㌴ぢ㔹昸慥㤴㍡㌹昰㝡㌲㐰扢㘰㔴〱㌴㙥昷㤶改㐸戵搹攲敤㈶戰㔴㈱ㄱ愴扤㠱㙤㤷ㄵ㌶㠶戸㡦㡢昸㔷㔷㤵捡攵敡攵换㕦づ㘵㐶昶㘴㥥㍤㤹㝦昵㤳㍦㝣晡捡挷㍦㍣晥搹㔷慦扤昶昱摦㕦戹昱搵㠷换挷㝦昷搶㕢扦㝤晡㡤ㅢ㥦敥戴摥㔴㝦昹攵散㥢㉦㡤㕤㝤改㐵敢晣愳搳㉦㍤昷挲戹戱昹ㅤ愳改㜴㕦摦晥攱摦摦晤㐸攱㈷㉦扥慦晣晡㉦㜷㜹㡡晣㌶㍥搰㌴㜳愸挳ㄳ〳㤰摡㔹㐳㘵㈰慤昰㐷ㄲ改㘷〹㤱㈶搰㤱㔵㔲晤晦〳㡢㔷㜲㕦</t>
  </si>
  <si>
    <t>㜸〱扤㕢〹㜴㔴㔵㥡捥捤昲挸つ㡢㠵㑥㠳愲慤ㄵ愴㐱㔹㌲㠴ㅤ挴〵㐲ㄱ昶㠴㕤㐰㡤㐹攵㐱㐲㉡㈹慣慡戰扡㠰㈲〸㠲㈰㉡戲〹㠲ちち愸愰〸㉤愰戶慤㠲〲㙡扢㐱㉢敡搸慤愳愷摤㥤ㅥ㜱〶㙤㥤敦慢扡户攷挲㕢㈶㜵㡥㘷摥㌹昷捦晦晥晦㝢摦㝦扦昷慡敡摤昷敥㑤㠶挸挸挸昸〵ㅢ晦㜲换愶㜳摥攸㔹昱㠴㕤㕢㔰ㄴ㡤㐴散㜰愲㍡㕡ㄷ㉦攸ㄷ㡢㤵捦ㅡ㔶ㅤ㑦㘴〱㘰㤵㔵㈳ㅦ捦㈹㡢㔷捦戶㜳换愶摢戱㌸㐰㌹ㄹㄹ戹戹㌲ㄳ昹㜳㔴ぢ攸ㅤ挹愳㘴㌶つ㔰ㄹ搲愲㘹㐴㤳㑢㈳㘹昲㘸ㅡ搳㌴愱㘹㑡搳㡣收っ㥡〰㑤㜳㥡㌳㘹捥愲昹ㄷ㥡摦搰戴愰㘹㐹㜳㌶つ敢换㔶㌴攷挲㌴㌹て㘶㑣㔱晦㤲㡡愹㔰㌳㍡ㄱ㡤搹ㅤ㠳攳㔲㝤扥戴戰戰愰戰愰㙢捦捥扤ち㍡㜷っㄶ搵㐷ㄲ昵㌱晢搲㍡扢㍥ㄱ㉢㡦㜴っ㤶搶㔷㐴慡挳㐳敤㔹㘳愲㌵㜶摤愵㜶㐵攷慥ㄵ攵摤㝡ㄵ㜶敢摥㝤㜲敦摥扤㥡晣ㄶ捣㈳㡡晡㤷挶散挹昱㕦㡢昳㝣㜲㤶ㄴ昵㉦ㄸ㘱㈷㝥㉤捥ぢ挰〹捡〱搱摡昲敡扡㕦㠹㌴㠷搷戴㜰㠰ㅤ慥收挵户敤㔸㜵摤㤴〲㜴晢㤴ㄳ㡤扤㥥〵挰㡣㉢㡦ㄵ搹㤱挸㈸㝢㌲㉦㜸戳摡戱㜱扢愸㍥㥥㠸搶㡥㈸慦戵㥢搴昲〴摡㌱扢㉥㙣挷㥢搵㠶㘶㠶敤㠸㐲挷㜳㙢㜱㈸㐱搹㜴捥愸㑤㕤挴挱㤵㜶㕤愲㍡㌱慢㈹㠹㐶㤵搷㑤戱〹挹愹㉤慥慦慥捣挸捥ㄶ搹搹ㄹ㔹攲㜷㙥㝤㑢㕥㉡搵愳愴捦㑢搸㈰ㄵ愷㜴㡢ㅦ愹ぢ㑦攳攷㌵㉢㤹㤶ㄸ㙡挷敡散㠸㉡挱㡢搹攱㌴㕣昲ㅣ愵㉥挵㍦㑦㤶ㄶ挴ぢ㈵ㅡ慢敦ㅦ搵戰㔰㠶っ搲攴挳㔸慤㘱㌲㐳摤攴㠵㡣戴㠱ㄱ搹挷昱晤㌵て攱㜷㈸戳慣㍣戳慣㈲戳㉣㥣㔹㔶㤹㔹㘶㘷㤶㑤捥㉣㥢㤲㔹㔶㤵㔹㔶㥤㔹㌶㌵戳慣〶ㄸ扤攵㌶㙡㤴愹戶㑤㥦㔴㝦摣㝡挱㍦晡敤敦搳㌷㔰㍥㘲㙣㡤攰㔷㤶搷㌹㐳戶愵㘹〷㘳㕤〴㤳ㄵ㉡散㉤㉦㘶愸㍤㡣㄰敦愰て散挷搰ㄷ㐴攱愱攵㤱挱昳㐲㍦㝦㍤㘹搲㠸挷〵扦敥㈹㠲㡥㐴㜷㠲戱ちㄸぢ㜵敤㈶晦㤵愱捥㌰㐲扣慥〸晥㜶攲搵㔵㉦戵㕥搴㝦摤昵㔷㙦㉦ㅡ㜵㐱㐸昰愷㈲㐵搰㠵攸慥㌰㔶㌷㤸捣㔰て搹㥤㤱ㅥ㌰㐲扣愲㡥㍦㔴摡昷换㐷戶晣㔸㌲昷㥢㈳㕦戴㥤搸扣戱攰慦㑣敡昸㕥㐴昷㠶戱晡㌰ㄶ㉡散㈹㉦㘱愸㉦㡣㄰㉦㈸㠲搵换摥㙤㜴敥攵㑦㡦㔸㥣昱搰晡晢昶散ㅦ㈹昸㠱㑤ㄱ㕣㐶昴攵㌰搶ㄵ㌰㤹愱㥥戲ㅦ㈳晤㘱㠴㜸㐶ㅤ㕦晤㕤昰㤳㙦㉥㍡㘳搸摥慥戳㜶捦てㅦ㉥ㄱ晣㜱㑢ㅤ㍦㠰攸㄰㡣㌵㤰戱㔰搷㐲㔹捣搰㈰ㄸ㈱昶㈸㠲㔵㘷㙦搸摣㉡晣捣㠰㐷挶㍥㔳㜲㘷摢㙢挶〸晥㌰愶〸㠶㄰㍤ㄴ挶ㅡ挶㔸愸戰扢ㅣ捥搰〸ㄸ㈱㜶㉡㠲㜷㍢慥㡢㌶戹㜳㐳昱㤶㈱㙦摤㌲慡挷昳㐱挱て㐴㡡愰㤴攸㤱㌰搶㈸挶㐲㠵㠵㜲㌴㐳㘳㘰㠴搸愶〸ㄶ戵㝢㜱昴㌳㐷㍥ㄸ扥攳㘴捥慣㤶㑦㈴㕥ㄴ晣㐱㑥ㄱ㡣㈳㝡㍣㡣㜵㈵㘳愱㉥扤攵〴㠶㈶挲〸昱㤰㈲㈸攸㜱昸㡥㡤㠳攷昷㕢㉦敢捦っ捡㤲扦〹晥㤸愷〸慥㈲晡㙡ㄸ敢ㅡ挶㐲㕤扡挹㌲㠶慥㠵ㄱ㘲㠳㈲㌸昳挴ぢ扢㥡㉥㕥㔸扣敥晢て〲㔳晥㍡㘴慦攰㡤㈰㐵㔰㐱㜴ㄸ挶慡㠴挹っ昵㤲㌶㈳㤳㘱㠴㔸慤㡥㍦㜷攸㥡㠳㍤㐷㐵㡢户昴扢㜵敤愶搷㈷ㅥㄶ扣㠷愴㡥慦㈲扡ㅡ挶㥡捡㔸愸戰戳攴㤷㐱㐶㘰㠴戸㑢ㄱ慣扤戳摤㑢挵挳㍢つ扡㝤晢户㙦摣㍡敥愷㠳㠲昷㥦ㄴ㐱ㅤ搱㔱ㄸ㙢ㅡ㘳愱㉥㍤攵㜵っ挵㘰㠴㔸慡〸愲㡦敥扡攷昸攸㜶㔷摣㝣挵戲㝤㐷㥦戵㍡〹摥扢㔲〴〹愲敢㘱慣改㡣㠵ち扢挸ㄹっ捤㠴ㄱ㘲愱㈲昸㜰攴挵て㤵慣ㄹ摣敦愹愵愱慦㕡户扤㜵㡢攰㝤㉦㐵㌰㥢攸㌹㌰搶昵㡣㠵扡㜶㤷㌷㌰㜴㈳㡣㄰昳ㄴ㐱捦㌶㈷挳搷㘵摦㍢㘲摦攴慡户捥㥡扦昲敦㠲昷捣ㄴ挱㕣愲攷挱㔸㌷㌳ㄶ㉡散㉡㙦㘱㘸㍥㡣㄰㜳ㄴ挱摣㜹敢㍦㝥改攳慤〳㜶扣搶敤㐰摢ㄳ昱㙦〴敦户㈹㠲〵㐴㉦㠴戱㙥㘳㉣㔴搸㑢㉥㘲㘸㌱㡣㄰昵㡡攰搳慤㝢慤昱慦敤ㅤ扣晣捤㍤㙢㐶晥㌲㜷㤴攰扤㍡㐵戰㠴攸愵㌰搶ㅤ㌰㤹愱摥㜲ㄹ㈳换㘱㠴㠸慡攳㜷㔵㝤摤㝣摦昹㤷㤶摣ㄲㅥ㌳敡扢扢㜳慥ㄱ扣捤愷㡥㕦㐱昴㕤㌰搶摤㡣㠵扡ㄴ捡㝢ㄸ㕡〹㈳㐴戵㈲㘸昳㕣搷つ㕦ㅣ散搹㝦挵愲㘳晢ㅥ昸敢敦㜲〴㠷〸㈹㠲㔵㐴慦㠶戱搶㌰ㄶ敡搲㐵慥㘵㘸ㅤ㡣㄰㘱㐵昰敤愴摤慢摥扡攱㥣搰攳挵扢㜳扦慦㝣㘰愹㌸㥢㘰戴っ戹㥥㘶〳㡣㜵㍦㑣㔶愸㕢㜷戹㤱愱㑤㌰㐲㕣慤〸扥慦㘹㜹搳戴挲㐷〶敤㥥戹敥敤捥扢㕢昶ㄶㅣ㥡愴〸ㅥ㈴晡㈱ㄸ㙢㌳㘳愱㉥摤攵ㄶ㠶ㅥ㠶ㄱ㘲扣㈲㘸㝤昱昱ㅢ㍢㥦㌷㘷挸扥慤昷㑤㤸晤㘶㑤㌷搱㡡㘰戴っ戹㤵㘶ㅢ㡣戵ㅤ〶㍤攸㈵ㅦ㘵攸㌱ㄸ㈱㐶㉡㠲挳ㅢ㥥散㕦㍤昴戹㘱㜳㐷㔵昴摡昴摤㠲㤵㠲㐳愲ㄴ挱づ愲㜷挲㔸㑦㌰ㄶ㉡散㈶㥦㘴㘸ㄷ㡣㄰㐳ㄵ挱㕤㉢愳㐷挳㐷㑢〶慣慡晥㌰搱户搷昷㍢㜳㠲㐸㌷散摥㙡〱ㄹ㉣慡㡡挶敤扡攴扤戶㐳㙤㘹㜵戸挶㡥㡤戶㌹慥戴㉢㐷㈷捡ㄳ昶㙦㡣㥢㝦㠷㤲扡愲㉡摥捥㉢㕢㥢搱挹愱㤹〹扢慥搲慥㉣㡤㐵愷搹戱挴慣㌱攵ㄵㄱ扢挵㈹㤰㝥ㄸ愸㑥户㤱㌸攷㤴昰挰㘸戸㍥㕥ㄴ慤㑢挴愲㤱㔳㌳晤㉡愷㤷㘳挰㔱㌹㍣㕡㘹㘷㘴㘵〹㤱㤱㜹㤶扡昱㠶愶㘳㜸㌱愸扣慥㌲㘲挷㝣〷挳㠲愳〷㉢て㕢㐶づ㙦捦改て㈴㌲㜱㤴㑣㡥㕢㌰捡㡣攷搴づ㡣挶攲㔹㔹㙥㐵〷㤵挷慢ㄲ搴敤㥦㈴摦㙥㥡㍤㌰㌹ㄷ挲㌴㘴㥣挲㡦愵㈸ㄷㄵ㈲㉣㉡㠵摤愸ㄶ攳㤸攱㔳㘲㌹挹攱㔹㑥敤〰㍢ㅥ㤶ㅣ㝦つ挶㐵㤸㘹挱㡢搴㘳搴挶搳㙡捦㑣っ㈸㑦㤴㌷慡㉤㉤挷昸㉤搱っ〷〲搷㐱ㄱ㌴搱扢挹㘱㥥摥㈱㕤㐰敦㘸搶愶晦ㅢ〰昹㔹㝡捦愸昱㑦敥㔴㈹㤹慣㐳攲㤴㐷搶愶挹㤸愶捣㔳㝢攰ぢ㈴㕤㠳慣㜱㌲㤰㘲㠲㜶㍥昹〸㝣〷㌰㜶㑣晥㐹㔹㡢㥢晦改㐳㍦㜱愲捥〷㐱慥攵㝢㘱摡㥣㌶ち㑣㡥ㄶ挳ㄵ㘳ㄳ搵㤱㜸〱㍡㔳ㅣ㡢搶㑦㈳捦晦㜷扤㕦慢摦散㝢㙡晢慦㕦晣晦㝥昴㕣㥥㙣つ㠸昵㌴㜱昸㤹㔱㜸㝣㘸昷㈲㤰㤷捡㑡㘶㥤挹攴㤱ㅥ戹㥣㌶㌸㈴㥤攱㌶㐷愷㑤㙡㑢挲ㄵ㘳㘲㜶昲ㄱ㈲㌷戹㌳㙢㥡摤戴㜶㝣㌴㔶㔳ㄱ㡤搶昰ㄳ搶㉣戹ㄷ慦戲敤〴〷攵㡤搵㘳〸㝤㈱㐴㔶搶㈹挳㙦㘳昴㝥〱昸慤攷㘱㥡昶㡢㐴㠲㥡㌱㙥晤㤱㜱㝣㈰㜰摤慤ㄷ攰㜷ㅤ㕥ㅥ㡥㐵㍢攱搹㌴㕣㔵ㅥ㑦㔴㠷㍢つ慥㥢㔶㥦㠸㜷ち㐷㙢愷㐵散㠴摤愹捥㑥捣㐰㠷㍡搵攲搷㉡㔲㌰㌳ㄲ慦ㄵ㝤搵て昴散慣散㥣敤捦摦㌴㜴㐳戳扡㐷㑢摢㘴㜶ㄳ㤷愸㠴㘳㌴摦ㄶ愵㠲㉣㥤晣挵ㄲ敤攰收愳挹〳㌴〷㘱〴㠷昴晣捤㐸㙤つ戹㤰ㄷ〱敡扣ㅣ㠷㄰挵㜵昴㐹晡攵㐴㝢ㅣ捥㙢㈹㜹敥㈴捦㤶攴㘹ㄲㅤ扤㈴㜷㔰〹挷昳㐷㐷ㅣㄶ㐴㔳㤲㍢挱㑤㑡㍥ち㐷ㅥ㠳ㄱ㝣〸㐹㑦㜲〱㡦㜵㝣㍡摦㐳ㄴ㤲㝤㤲㝥㌹搱ㄹ㠷扢㐹㍥捦㑢昲戹㉡攱㜸㘲敡〲愶㈰㥡㤲摣ㄵ㙥㔲昲愷㜰攴㘷㌰㠲捦㑤改㐹敥挶㘳ㅤ㤲㍦㐷ㄴ㤲㝤㤲㝥㌹搱〳㠷扢㐹㙥攲㈵戹戱㑡㌸ㅥ昲㝡㠱㈹㠸愶㈴昷㠶㥢㤴㝣〲㡥晣〱㐶昰㐹㉦㍤挹㝤㜸慣㐳昲㐹㐴㈱搹㈷改㤷ㄳ㝣搶㜴㤳晣搳捦愹攷㘷挷㜷昹㐷㤵㜰㍣㤶㕥〶愶㈰㥡㤲㝣㌹摣愴㘴㑢愰摢㡤㘰㐴㍦㠴搲㤳㝣〵㡥㜰㑡捥〳ㄹ㈴晢㈴晤㜲愲㍦㐸摤㈴㝦改㈵昹ぢ㤵㜰㍣㐹て〰㔳㄰㑤㐹收㤳㜴㍥㥡㙣㠱づ捡㤶㌰愲ㄸ扢改㐹ㅥ㐸〲挷㔵㙥〵㌲㐸昶㐹晡攵挴㈰㤰扡㐹㝥摦㑢昲㜱㤵㜰㍣晢て〱㔳㄰㑤㐹ㅥち㌷ㅦ㑤戶㐵〷㘵㍢ㄸ㌱ㅣ扢改㐹ㅥ㐶〲㠷攴昶㈰㠳㘴㥦愴㕦㑥㡣〰愹㥢攴㈳㕥㤲て慢㠴攳㙤㐵㈹㤸㠲㘸㑡㌲摦㔶攴愳挹ㅥ攸愰散〹㈳㐶㘳㌷㍤挹愳㐸攰㤰摣〷㘴㤰散㤳昴换㠹㌱㈰㜵㤳扣摦㑢昲㍥㤵㜰扣㕦ㄹ〷愶㈰㥡㤲㍣ㅥ㙥㍥㥡ㅣ㠸づ捡㘲ㄸ㌱〱扢改㐹扥㤲〴づ挹㐳㐰〶挹㍥㐹扦㥣㤸〸㔲㌷挹摢扤㈴㙦㔳〹挷ㅢ㈱扥〷ち愲㈹挹㝣㈳㤴㡦㈶挷愱㠳㜲㍣㡣㈸挳㙥㝡㤲慦㈱㠱㐳昲㐴㤰㐱戲㑦搲㉦㈷慥〵愹㥢攴㜵㕥㤲搷慡㠴攳ㅤ㔶〵㤸㠲㘸㑡㜲ㄸ㙥㍥㥡㥣㡣づ捡㈹㌰㠲㙦戲搲㤳㕣㐹〲㠷攴愹㈰㠳㘴㥦愴㕦㑥㑣〶愹㥢攴㈵㕥㤲㙦㔷〹挷㙢户㉡㌰〵搱㤴㘴扥㜶换㐷㤳搳搱㐱㌹〳㐶搴㘰㌷㍤挹㔳㐹攰㤰㍣ㅢ㘴㤰散㤳昴换㠹〸㐸摤㈴㕦敦㈵㜹㡥㑡㌸㕥ㄴ搶㠱㈹㠸愶㈴昳㐵㘱㍥㥡㕣㠰づ捡㠵㌰㠲㙦ぢ搳㤳㍣㡤〴づ挹㡢㐱〶挹㍥㐹扦㥣㠸㠱搴㑤㜲挴㑢㜲㡤㑡㌸㕥㙤㈶挰ㄴ㐴㔳㤲昹㙡㌳ㅦ㑤慥㐴〷攵扤㌰㘲〶㜶搳㤳㍣㥤〴づ挹㙢㐰〶挹㍥㐹扦㥣㤸〹㔲㌷挹㔷㜹㐹㥥愴ㄲ㡥㤷戱戳挱ㄴ㐴㔳㤲昹㌲㌶ㅦ㑤㙥㐶〷攵ㄶㄸ挱㌷戲改㐹收换㕣愷攴慤㈰㠳㘴㥦愴㕦㑥摣〸㔲㌷挹挳扣㈴て㔵〹挷敢攳戹㘰ち愲㈹挹昳攰收愳挹摤攸愰摣〳㈳㙥挱㙥㝡㤲㙦㈶㠱攳㉡敦〵ㄹ㈴晢㈴晤㜲㘲㍥㐸摤㈴昷昵㤲㝣㠹㑡㌸㕥㜸㉦〰㔳㄰㑤㐹㕥〸㌷ㅦ㑤ㅥ㐰〷攵㐱ㄸ挱户摥改㐹扥㡤〴づ挹㠷㐰〶挹㍥㐹扦㥣㔸っ㔲㌷挹ㅤ扤㈴㜷㔰〹挷㉢晡㈵㘰ち愲㈹挹㝣㐵㥦㡦㈶㡦愲㠳昲ㄸ㡣攰㡢晡昴㈴摦㐱〲㠷攴昷㐰〶挹㍥㐹扦㥣㔸づ㔲㌷挹攷㜹㐹㍥㔷㈵ㅣ戳ち㉢挰ㄴ㐴㔳㤲㌹慢㤰㡦㈶㍦㐵〷攵㘷㌰㠲㔳ぢ改㐹扥㥢〴づ挹㥦㠳っ㤲㝤㤲㝥㌹戱ㄲ愴㙥㤲㥢㜸㐹㙥慣ㄲ㡥㜹㤰㔵㘰ち愲㈹挹慢攱收愳挹ㄳ攸愰晣〱㐶㜰㌲㈴㍤挹㙢㐸攰㤰㝣ㄲ㘴㤰散㤳昴换㠹㜵㈰㜵㤳晣搳㍦扣㥥㤷㔵挲㌱㜳戳ㅥ㑣㐱㌴㈵㜹〳摣㝣㌴㘹㘵挲㌴㠲ㄱㅢ戱㥢㥥攴晢㐹攰㤰㥣〷㌲㐸昶㐹晡攵挴㈶㤰扡㐹晥搲㑢昲ㄷ㉡攱㤸㙢㝡㄰㑣㐱㌴㈵㤹㜳㑤㐹挹㉤㈸戹㈵㈵㙦㐱㈸㍤挹㥢㜱㠴㔳㜲慢㤴㘴㥦愴昴挹㠹㠷㐱敡㈶昹㝤㉦挹挷㔵挲㌱㍢戶ㄵ㑣㐱㌴㈵㜹ㅢ摣愴攴戶㤴摣㡥㤲㌹㐵㤶㥥攴敤㌸挲㈹戹㝤㑡戲㑦㔲晡攴挴㘳㈰㜵㤳㝣挴㑢昲㘱㤵㜰捣攷敤〰㔳㄰㑤㐹收㝣㕥㔲㜲て㑡敥㐹挹㥣搴㑢㑦昲ㄳ㌸挲㈹戹㑦㑡戲㑦㔲晡攴挴㉥㤰扡㐹摥敦㈵㜹㥦㑡㥣㍥〳㤹扤ㅢ㑣扥㤳㉤㡤〰挸ㅢㄶ㉤慦ㅣ㔸ㅥ挶㝡慦㐶㙡戵㔷㙥ㄱ㕥愷㘳㥥㉡ㄶ攰㘴㕡ㄱ㕥愵㘳㐲㜱㝡㜵愵ㅤ换㘵㘰㌴㔶戳㘵㜳ㅡ捥㑡㑥㜰挵㌱ㅦ㤴㤵㤱㤳搳㌸搷慤搶㘰捤搵挶㘵戵摣㘰〷晦㤷㈳㝢昱ㄵㅤ㝥ㄸ戲㘰攵㐰㕥㥣㘲㕥㥣㍤搸愵㥥搳〰㠳〸ㄸ㑣挰㕥〳搰〲㝥㕥㕥㜳㔸㌹㠴㠰愱〴ㅣ㌰〰㜰㜵㠹㘱〴っ㈷攰愰㍢㘰〴〱㈵〴ㅣ㌲〰㈴㔷㈵㑡〹ㄸ㐹挰㔱〳〰㔷㤷ㄸ㐵挰㘸〲㡥戹〳挶㄰㌰㤶㠰昷っ㠰㔱㘲ㅣ〱攳〹昸搴〰挰搵㈵慥㈴㘰〲〱㥦戹〳㈶ㄲ㌰㠹㠰捦つ㠰㔱攲㉡〲慥㈶攰㠴〱㠰慢㑢㕣㐳㐰ㄹ〱㍦戸〳慥㈵愰㥣㠰㤳〶挰㈸㔱㐱㐰㤸〰㑢戸㕥捤㑡〲㙣〲ㅡ戹〳㈶ㄳ㌰㠵㠰㍣〳㘰㤴愸㈲愰㥡㠰ㄶ〶挰㔰㌱㤵㠰ㅡ〲㕡扡〳㈲〴搴ㄲ搰捡〰ㄸ㈵敡〸㠸ㄲ搰搶〰ㄸ㈵愶ㄱ㜰ㅤ〱敤摣〱㌱〲攲〴戴㌷〰㐶㠹〴〱昵〴昴㌰〰㐶㠹改〴捣㈰愰愷㍢㘰㈶〱戳〸攸㘳〰㡣ㄲ戳〹㤸㐳挰㐰〳㘰㤴戸㥥㠰ㅢ〸㈸㜶〷摣㐸挰㑤〴っ㌱〰㐶㠹戹〴捣㈳㘰㥣〱㌰㑡摣㑣挰㉤〴㡣㜷〷捣㈷攰㔶〲㈶ㅡ〰愳挴〲〲ㄶㄲ㌰搹〰ㄸ㈵㙥㈳㘰ㄱ〱㔳摣〱㡢〹戸㥤㠰愹〶挰㈸戱㠴㠰愵〴㑣㌷〰㐶㠹㍢〸㔸㐶挰っ㜷挰㜲〲敥㈴㘰戶〱㌰㑡慣㈰攰㉥〲ㄶㄸ〰愳挴摤〴摣㐳挰㐲㜷挰㑡〲敥㈵㘰戱〱㌰㑡慣㈲㘰㌵〱㉢つ㠰㔱㘲つ〱㙢〹戸搷ㅤ戰㡥㠰晢〸㔸㘳〰㡣ㄲ敢〹搸㐰挰㘶〳㘰㤴戸㥦㠰㡤〴㙣㜱〷㙣㈲攰〱〲戶ㅡ〰愳挴㠳〴㍣㐴挰㙥〳㘰㤴搸㑣挰ㄶ〲昶戸〳ㅥ㈶攰ㄱ〲昶ㅡ〰愳挴㔶〲戶ㄱ㜰挰〰ㄸ㈵戶ㄳ昰㈸〱〷摤〱㡦ㄱ昰㌸〱㠷っ㠰㔱㘲〷〱㍢〹㌸㙡〰㡣ㄲ㑦㄰昰㈴〱挷摣〱扢〸㜸㡡㠰昷っ㠰㔱㘲㌷〱㝢〸昸搴〰ㄸ㈵㝥㑦挰搳〴㝣收づ搸㑢挰㍥〲㍥㌷〰㐶㠹晤〴㍣㐳挰〹〳㘰㤴㜸㤶㠰攷〸昸挱ㅤ昰〷〲㥥㈷攰愴〱㌰㑡晣㤱㠰ㄷ〸戰㘰㕣敥晥㉦ㄲ昰ㄲ〱㡤摣〱〷〸㌸㐸㐰㥥〱㌰㑡扣㑣挰㉢〴戴㌰〰㠶㡡㐳〴ㅣ㈶愰愵㍢攰〸〱慦ㄲ搰捡〰ㄸ㈵㕥㈳攰㜵〲摡ㅡ〰愳挴㥦〸㜸㠳㠰㜶敥㠰㌷〹㜸㡢㠰昶〶挰㈸昱㌶〱敦㄰搰挳〰ㄸ㈵㡥ㄲ㜰㡣㠰㥥敥㠰㍦ㄳ昰㉥〱㝤っ㠰㔱攲㍤〲㡥挳〴〶挲㜰ぢㄴ㙢㘷㤰㜶〶㙢㘷〸ㅣぢㄸ敢㝤㌸㠱愲晥㘵愷㉣㘴户㍥㐰戴㜱㔹㙡㘱挷ㄸ慣㈲戱㍥㐴愰㘹㔹㙡愹㝢㙡㔰㘹晤ㅢ㐲㑤㜰㘴㜲ㄷぢ攲攳搶㐷㠸㌴㐳挴㔸戸㘶晤〵戱收㠸㥤扡摥㍤㌰ㄴ㘱搶捦ㄵ昸㕦ぢ昸ㄹ㜹挹㘵攱㌲〸㔷㝥㠲㐰㘰ㄸ愳搸〲挳戵㌳㐲㍢㈵摡㈹㠵㐳ㄶ㐹ㄵ㤲㥤㤶散愸㘴搷㈴㝢㈳㔹㍥㌰ㄲ收戴㘲敤㜸㔴㕢㥡慦㠸ㄸ〵挳㉤㌰㕡㍢㘳戴㌳㔶㍢攳攰㤰挵晡ㅡ㡥昳㤴㝤㠳攸㈹愷散㕢〴㑥㍢㘵摦㈱㜴敡㈹晢て㐴㑥㍦㘵㝦㐷捣攵㤴㡤㐷昸㌴ㄵ㕣〵㈲㍢搲㥣㐰㌲㜰㈵っ户挰〴敤㑣搴捥㈴敤㕣〵㠷㉣晦挷㈹扢㕡挱㡣敢搳㤵㐷㜵愱昹〵挹挰㌵㥡戱㑣㍢搷㙡愷㕣㍢ㅣ㑦㌶愰ㄸ㐷㥣愷㈹敢捤㍡扤㘸㜲昱㥣ㄱ愸搴㡣ㅣ㝢㜲ぢ㑣搶捥ㄴ敤㔴挱㘹㐰戱㙡〵㌳㤴昱㠱㐶㕥㐶搳㥣挵愶㙡挶ㅡ敤㐴戴㔳慢㥤㍡㌸挹㘲晣㌰㐸㕥㝢挹敢㉤㜹㠵㈵㉦慡攴㔵っ㐴㘱㑥㔳挶搹㝥㌹㠰愶ㄵ㡢㑤〳㠲㕢攰㍡敤挴戴ㄳ搷㑥〲㑥〳㤴搵㉢㤸愱㡣昳散㜲〸捤㠵㉣㌶㕤㌳捥搰捥㑣敤捣搲捥㙣㌸つ㈸㌶㐷挱㡣㘲㈳㔹愷㤴愶㈳㡢㕤慦ㄹ㙦搰捥㡤摡戹㐹㍢㜳攱㌴攰㌴捥㔳㌰愳搸㜸搶ㄹ㐷搳㥤挵㌸㔲攵ㄶ攰㘸㌵改捣搷づ㠷愷挹挸〲㌸つ㔰戶㔰挱㡣㘲㥣搵㤵㥣改㤵㤷戱搸㙤㥡㜱㤱㜶ㄶ㙢攷㜶敤㉣㠱搳㠰㘲㑢ㄵ捣㈸ㄶ㘶㥤ち㥡㘲ㄶ扢㐳㌳㉥搳捥㜲敤摣愹㥤ㄵ㜰ㅡ㔰散㉥〵㌳㡡㜱㈶㔳㔶搱㤴戲搸摤㥡昱ㅥ敤慣搴捥扤摡㔹〵愷〱挵㔶㉢㤸㔱㡣㜳㠸㤲昳㡡㜲〲㡢慤搱㡣㙢戵戳㑥㍢昷㘹㘷㍤㥣〶ㄴ摢愰㘰㐶㌱捥摥㐹捥攸挹ちㄶ扢㕦㌳㙥搴づ〷戳摣〲ㅣ搰㈶㥤〷攱㈴㡢昹㝦愹㌹扥㈵捣㈸挶㜹㌳㌹㥢愶㠶挵㌶㙢挶㉤摡㜹㔸㍢㡦㘸㘷㉢㥣〶㈸摢愶㘰㐶戱㜹慣㌳㤷㠶晦挴ㄸ搸慥ㄹㅦ搵捥㘳摡㜹㕣㍢㍢攰㌴愰搸㑥〵㌳㡡㉤㘴㥤〵㌴㌷戰搸ㄳ㥡昱㐹敤散搲捥㔳摡搹つ愷〱挵昶㈸㤸㔱㡣戳㌴㜲㐹戲㈲㡢晤㕥㌳㍥慤㥤扤摡搹愷㥤晤㜰ㅡ㔰散ㄹ〵㌳㡡㜱㝥㐴慥愰㔹挶㘲捦㙡挶攷戴昳〷敤㍣慦ㅤ㡥㜷ㅢ㔰㡣㈳㘲挲㡣㘲㥣㤹㤰㥣慤㤰慢㔸散㐵捤挸戱㌱户挰〱敤ㅣ搴捥换㜰㤲挵晣㍦㡤慦㈸㤸㔱㡣㜳〲愹晦敢搸挸㘲㠷㌴攳㘱敤ㅣ搱捥慢摡㜹つ㑥〳㤴扤慥㘰㐶㌱扥㡤㤷て搲㙣㘵戱㍦㘹挶㌷戴昳愶㜶摥搲捥摢㜰ㅡ愰散ㅤ〵㌳㡡昱㍤㜸敡晦㐵㥥㘴戱愳㥡昱㤸㜶晥慣㥤㜷戵昳ㅥ㥣〶㈸㍢慥㘰㐶戱㥤㉣挶户搲㜲㍦㡡㠹㑦㠰㜰㝢敤㝢挵㑦ㅥ㔳㌸㤷慢㠴㘳昹昲㔷ㅥ㑣㤷㜸㌱昵㔱〹挷慡攰ㄳㅥ㑣㍤扣㤸扡慢㠴㘳戱敤㉦ㅥ㑣㠵㕥㑣㥤㔵挲戱㠶㤵〳㌶户昳搴搱㡢愹㠳㑡㌸㤶㠶㜲㌴收挶搴捥㡢愹慤㑡㌸㔶㕣㜲愸攵挶搴摡㡢㈹㕦㈵ㅣぢㄹ㌹㡥㜲㘳晡慤ㄷ搳㜹㉡攱㔸ㅦ挸㐱㤲ㅢ搳搹㕥㑣㉤㔵挲戱散㡥㈳㈰㌷愶戳扣㤸捥㔴〹挷㙡㌶づ㙦摣㤸㥡㜹㌱㌵㔵〹挷㈲㌱㡥㕤摣㤸愴ㄷ㔳慥㑡㌸搶㕥㜱㘰攲挶㤴敤挵㤴愵ㄲ㡥㈵㑤ㅣ㜵戸㌱晤昲愳挷㌷昸㘷㤵㜰慣ㄴ攲㤰挲㡤改愴ㄷ搳㝦慢㠴㘳〱づ挷ぢ㙥㑣摦㝢㌱晤愷㑡㌸搶戵㜰㌰攰挶昴慤ㄷ搳㌷㉡攱㔸㉥挲㍢扤ㅢ搳ㄷ㕥㑣㥦慢㠴㘳ㄵ挶〲て愶㑦扤㤸晥㕤㈵ㅣ㡢ㅢ㜸㡦㜶敢搳㕦扣㤸㍥㔲〹攷㥡〱て愶昷扤㤸㡥慢㠴㘳㉡㥥㜷㔷户㍥ㅤ昳㘲㍡慡ㄲ㡥ㄹ㙥摥㍡摤㤸摥昴㘲㝡㐳㈵ㅣㄳ挷扣㉦扡㌱扤敡挵㜴㐴㈵ㅣ昳戱扣改戹㌱扤散挵㜴㔰㈵㑥㥦收㙣晣㍦㝦晣㈲㤴</t>
  </si>
  <si>
    <t>㜸〱搵㕡㝢㙣ㅣ挷㜹扦㌹摥㉤㙦㡥慦㤵㈸㍢㤶攲挴㑣攴㔷㐲改㉡敡ㄱ挹㜵ㄴ㠵㈲㈹㠹㌶昵愴㘴㈷愹摤搳昲㙥㔶㕣敢㙥㤷摡㕤㑡愴攱挶〹搰〲〹搲ㄴ㐸攰晥㤱㈲戲ㄴ挷㜵攲ㄷ㙣愳㙤㥡收㘹挵㙥㥣摡㑡㙢户㠱㠳愲㐶㙢㍢㜱㔳愰㡤攰愶㝦搴㝦愴㜵㝦扦搹㍤昲㕥㍣㔱㌴㕢愸㐳昰扢㜹㝣晢捤攳㥢昹㕥㌳〹㤱㐸㈴摥㐶攲㉦㔳㡡㤹慢挷㘷㠳㔰㤵㜳㐳㕥愹愴ち愱攳戹㐱㙥搰昷慤搹㌱㈷〸摢㠰㘰攴ㅤ戴〷改㝣攰摣慤㌲昹㤳捡て㠰㤴㑥㈴㌲ㄹ㤹㘴㝢晣㙦㔶ち㤲㕦挹ㄴ〱戰ㄲ㤲〸戲㥤㈰〳搰㈹〱づて敤摣㍦㜱ㄷ扡ㅢて㍤㕦慤敢扢㉤㈲扡㝤㘰㈰㌷㤰摢戴㜵挳戶摣㠶㜵㝤㐳搳愵㜰摡㔷摢㕤㌵ㅤ晡㔶㘹㕤摦㠱改㠹㤲㔳戸㔵捤ㅥ昶㡥㉢㜷扢㥡搸戰㘹挲摡扣㙤㘰昳㤶㉤昶㑤㌷㙤敢捣㠲昲扥愱㥤〷㝣㘵〷换㐵戳㠳㌴昷て敤捣敤㔳攱㜲搱散〴㑤㤰ㅣ昶捡㤶攳㉥ㄳ搱㌴ㄷ㝤㘰㔸ㄵㅣ㜲㐷㈹摦㜱㡦攵㌰散㥡㠵㐶㘹㙢づ㌸户㔹晥㤰㉡㤵づ㈹㥢ㅣ改㉥ㅦ〹搴搰㜴㄰㝡攵㝤㔶㔹㜵㤶戹㠰捡㔷㙥㐱〵摤攵㤱㤹㠲㉡挵搸㐱愶㡣㑦㠹㤴㘲愶愷ㅣ㌱㜱戴愸摣搰〹㘷扢㐸攸㤰攵ㅥ㔳㐴㐹㤷㜷㑦㍢挵㐴㉡㈵㔲愹㐴㥢戸慥搹搸㌴慢攲ㄱ改㍣㔹戸愸㔹搴っ㡢㕢㙡㙤ㅤ㝤昲㙣晦㔴㜸慢昲㕤㔵㡡扢㈰㌳晢敢昰昴ㅡ㐵慣㤸㕢慣捡㠴挸㈸搱ㄱㅦ㄰捥㠶ㅤ㈵㘴ㄷ㐱㌷㠰搱〳㤰ㅣ搹㈲㑤搶慣〰㄰愹ぢ㌸㘰搵㥦戰捦㘴摥㑡收㈷㤲昹㐲㌲㕦㑣收㔵㌲㙦㈷昳挷㤲昹挹㘴摥㐹收敦㑡收㡦〳愷㤲㌲敤敤挹㌸㍤敥昵㝤昲挹慤扦㝦敢㐳搷摦扤㘱晣攵晢㍦㈷㜸愶挸攷㠴散㈵㔸〵㘰㕣〱搰㌶㌲昰㈱㜹㈵慢摥〵㈰挴扦㘰っㅣ挷攴㘳敤ㄷ㝥晡挴晤㈳摦敥晤挷㑦㍣昸㤹㔳捦愵㜹ㅥ㌷㌵㕢㠰慡搳愸㌷挹㉥ㅣ换㠲ㄵ㠴㌱攳㜹㝡㤷㜷㕦挴摢攲㠶㘶㠳㠹㜶挵㉥扦㌰㌴㘹昹攱㍢摣ㄷ㝤㜵㍤㜰㕦㡣㍢攵㜸㕦愰㤳㘵搹ㄴ㜲㌵㔷㝦つ㠰昱㙥㠰㑣搹㥡㜱捡㤰㤷昲㙡搶扦〷㐰㠸搷㘳慥㍣㌵㍣㜵㕦㕦慥㌸㝣㕦敥挸改摣㉦㔷慣ㄶㄴ㤰ㄱ㕢慦㈱㜶ㅦ㠰昱㍥搶㡤㙣摣㈰摦捦慡戵〰㐲扣ㄲㄳ搸戱昶摣㐳㑦昴扥㜴换户挲㌵愷慦㜸㜴敤㉡㐱昶㐴〴慥㈳昶昵〰挶つ慣ㅢ搹戸㐹摥挸慡て〰〸昱㜲㑣攰㜴昷慦㝥㝥昶攱㍢昶㝥昵㤵㌷戲㥦㝤㜱㥤㉤㈸〶㈲〲晤挴㕥〷㘰慣㘷摤挸挶て挹ㅣ慢㝥〳㐰㠸ㄷ㘳〲㐳慢敦晥慦ㅦ㝣㝤昷敥挷ㅥ㝦收捥ぢ㉢ㅦ戹㉡捤㈳戱戸ㄳ捥挹昶つ㑤㝡㠱㜲㌵㘷晢换〷㥣挲㜱攵㡦㉢慡ㅦ㔵ㅣて慤㔰㕤挱愶㔸〴昵敦㜷戱て㈰㔴㡡敦慦慥戵㐷㘶㐲攵ㄶ㔵昱㠰敦㑤㈹㍦㥣㍤㙣㑤㤴搴㤵㌵㈸㠳搰㘷㈷ㄵㅡ㔶搷㔴敦昲ち搳挱㤰攷㠶扥㔷慡㙤ㄹ㉣㥥戴㈰昶㡡㝢扤愲㑡戴戵〹㤱㐸昶挶挷㝦攴㈴㠴摣ㅥ换㉤㤶㤴摦㔲㘷ち捡㌰㈳㡢㤴㐸㔳㐸㕣扡㌸愳㈲㤵㕡㝡㐲搷〵改㌲づ㘳搰搶搶慣搳㍤㔶㌰ㄹ㜲摥㉤ㅢ㈹戵攴〰挱㐶㠰㌴㠵搵㘲愴㈵户戴戰挴㠴㈸㠸愲㔰敤㘵㐸搳扤挷晣戴㔶ㄲ改昲戰ちち㤲㕡㘰ㄴ㑣㤸㌱㤰㉢㑤㐳㜷㜰㔹搵㑣㌸㙣㠵㔶㝢昹㠰〵㉤ㄲ㜶攳㐳攰昵挷〴㍡㉢㐵慤㙣㉡〵㤲㌳㉢㠵ち搵慥昹ち㄰敦慤㤴慡晡㤸愳ㅤ㜵㈵㜵㍦㈴ㅣ攵㐸戵㑢搷㔵㐸㘶攳ㄲ攸㤹㍡㕢㐵慣㐳㔷㐴㤴㌰㜷ㅡ㐸戰㤰摡㈰慡昴㑦〴つ愶搶换㠷㜱㘲愱㈸㔷㌲㐶㑢挶㕣摢㐴㌶敤㉦㑣ㅣ〹㥤㔲㤰挳㘰㜶晢摥昴ㄴ改晣㕦昷户㕣攳收搸愳昴搶摢慤㝦㕦晤㝥㔶㔲㥢ㅡ㥢㠹〷㌱ㄳ攳㘳搳㙥㐱㐵㌶㙡㤵㙣㙤㙣搴㕦㉥搰㤶愶㕡扥ㄴ愵㑦ㅤ搹㔹〶ㅢづ晢㑡ㅢ㌲ㄹ㕤㤸㥤㔲㕤攵摢㍤晦昸㠴攷ㅤ攷づ敢搶愵㘰㔲愹㤰愶㐱㐷㙣っ㌱㉦㠴㘸㙢慢㌱〲慡㙣〸ㅡㄵ挶㠷〱扡〶㑢愵扥ち挵挰搸捥㝡㙣〸昰摤昸〸昲㥢昶㕡〵摦㕢てぢ戹㌰〹㑤散ㄴ搶㡦扡㔳搳㘱戰扥攰㤵愷㑡㉡㔴敢㕤ㄵ㥥挲㠰搶㤷㈱慤㑡戹㤹㔲㔰ㄶ攷㘲〱㝤㜷㕢㉡晤搸戹㝢㙦㍤搳敤㍥㝥攰摡攴㘶昱㜴摣搰㘰㔳搰㤲愰昴㡥㈴㤶愰㑤㐱愹㈵〷〹㜶〲〸ㅡㄶ㤴ㄹ㔱㕡っ㈳㘹㤳㌴戲㘳〴戵攰㘳㡢挶㔶㙤㠲愶つ㜹㈹戹㜶㤲慢㈵戹㑣攲愹㠵愶晣㘴摣㔰㙦〵㜵ㅥ挴㘷〷㘳㡥っ晢搶㈹㤸捡昳㔶昸挶摣〶晥㕤摣晤㠰昷㘱㙦戱户摡〳〳挵㉤ㅢ慣㑤㔶㥡昲㜲戱昶っ㤷戹搳扥摤㜱㡢摥㈹敡愶愰搳摥攵㤴㐲攵敢㐲㡦㡤㥦挸㤲搷攵㉥㉡㍢摦㉡㐴戶搰㉡㝢〸晡づ慥㐳㌸㍢㙦㈰㕤扤搳㠲ㄱ㍦㘷㉦昵挷戴㜷㝡搳㙥㌱㜸㜷昳㐶慤㙡搷搴户捤ㄳ㘹昸㙣ㅣ㙥㠵ち昴㤰摥㕢晦㤹㤶晦㠳㌳㑥搴晣㥥扡㘶昸ㄴ摥挴挲慤扢㝣㜵㘲慥戵㘱㐴㤱ㅡ㘷㝢挳㉣愳愶㘸㕣晦㉦慣㡡㤴㑥昰㡡㤰ㄲ㈲戲㌱㙥慣㔳〳摡㈵搱慢㥣㠳㝤㕡戵㐹㘸㔹戴㐶慥摡㐴㐴㙥㉡昷收㈸㈳㔳戵挹㠸晦㠱㤶㈳愹摥㠴挴摥搰ㄲ扢挹㈶攵㐷㔷搵ㅥ扣摣㈱㔸㝤戰敥㑡㡡愷㌲㔹慦ㄱ慢㤶㘲㝥㕦㕥㘴愴㥣㕦㙣㍢㌲㠶㐱散ㄶ㡢愶挹捥敤扤晦㕤攴攴ㄲ慤㐹㜹〸㜳㤰攳〴㠷〹㡥㄰摣〶㤰㝥ㄸ㌲㙥挱ㄵ愵扢㈸㘶挴㙣晡㤴㔳っ㈷㡤㐹攵ㅣ㥢っ㔱㠷挸㑤㈶挳攵㙥㐸昲㘳愸㤲ㅦ㈷昸〴〰㑣㔸㉤挶㡤慣扣〳㐵攳㑥㠰㥥㡡㙢搸ㄷ㙤捣㙣㐲搰敤搱㍡攳户㤱㤱㜹㠰捥愳〰晢昶愸ㄲ㉣昳攵ち挵愴改㑡㕤搴㥢㕢〹愴㉢换攳戳㙥㘱搲昷㕣㜸㘰戴㐴〷ぢ〸㘵〴挲㌲捡㘳摥搰㜴㘸㤴昷㌸昸改㉣ㅦ㔲㔳捡ち㠷㈰㈳挳慥昲ㄸ㤴慣ㄶ㘲愳挵㤹㑢㌷㜲㤷搱昲㈴摢攰㙢搱昲㡣㘱晤昶㡤っ挴㜸㜹㜳挳ㅥ攲㘲㑡挷散㡥攲㑢挳〰㜷㤷挹敥㕣㉥㍡摡づ㤴ㄶ㐶㜷收摦ㅦ戹昹扡搳㑦扣ㅤ晦摥㡢晤慢㤳愴摢摣㘸㌳ㄴ㔱㥢㙤搵㈶攸㕢捦㤹〵㠶㠳㔲ㅢ㠴㘶㘴ㅡ晣㈱㐸㌳づ搲㘰つ摤ㄷ㌷㌴戸攲㜴挰慢慣愱㍥ㄴ昵捥㉥㈳㈳㕤〰㐱㝦晣搲慣愱昷昱摢捤〰㥣㈸㝥㜴㤲㈷昰〳㙢愸㐵㘳慢㌶挱㠸挰摣戴慢慣愱摦㡢㘷搶㌰攵摦㡤ㅢㅡ㠲〷っㄹ㔴㑤㤹挱〳㍤攵摦㐱㐶㝥ㄲ㐰㌰㠲㜰㘹㔳㘶昰愱㜱捡㥦㐶㉤愶摣愲戱㔵㥢㘰っ愳搹㤴愷ㄷ㥡㜲ㄸ㌷㌴㠴㍢晡㐱愹㙡捡っ㜷攸㈹㝦ㅥㄹ昹〷〰㈲〷㜰㘹㔳㕥捦㙦ㅢ戸晣〵搴㘲捡㉤ㅡ㕢戵〹㐶㕤㥡㑤㔹㉤㌴攵㘲摣㔰ㅦ愰㐹つ㠰㔲㑢㕦㤴㌱愴散㤸㘷ㄵ㜷挱捥昴晣昶㌸㈴㥦ㄹ㠲户〱㌷摥㌷ㄹ㙢ㄸ㠲愷〱㑢敥愴㔳㔴㝥㠶ㄵ攳㤰戰㈹㐶㈹っ㉤㍡〳㥣扥戶㐴㍡摤㤱㘹搶搷㘸㠵搶戵戱つ㔰㝤攷㌰摡㐰晦摦づ㙥摢㠱㐱㘱晤ㄸ㥡㤲愷〹敥〷㄰㡣㘲㜰㍥㜵〸㘷㠸㜰ㄶ㐰搰㘳慣㈰㜰昹戲㔹㐲昹ㄵ㠲〷〰挴㈰㐰〵〱搹㑡ㄷ㕦㐵㔶㍥〸㈰攸昸㌴㐱昸㘳㈲㍣㐴〴㍡㌳ㄵ〴㝡㌴㜱ㄷ㕦㈳挲搷〱搲㔴搹昵㜲扢捡㥡愹㌵散戸晢っ晢㠸敢㠴㐱㠷㍤㌸ㅤ㝡扢㥣㜰㌸〸㍢㙤〰㘴戵挵戶㐶㕢㉡㔵搶㘰扦㝤㥢愳㑥ㅤ㠶㘳㝡㑤㘳㔳㑤㐸晦扤㡤敤挳摥㍥㉦ㅣ㜶㠲愹㤲㌵㝢㙤㤳收愸攵昶㐹攵挲㑢昰ㄱ㤷扢ㄸ㤲㌷㌵愵㡡㑤挶㌸敥㑤晢〵㌵㍡㝣㌹㠴昴㐴㐲敢搶〴扣㜳㘸搶㤶㔷ㄲ昳敢㑥㤳㌰〹㡦㕥㉣㌱ㄲ昸㌰扥挷愶㜸㠴㄰㥤㘲愷挸㐷㤱㘵㜸㤰ㄶ㕤敢㍤㔲㘵捦㔳㠷㘶㙤昰㌵慡敢㡡ㅤ挶㔱㌷挰㘹捣挶愵扤㡥摢ㅤ㘷昷㈳㔶㔰摤㘲捤昴挶㉤㠸㍢散㜷挱晢㠲攵ㄷ㉦〷戶㘰㘲㐸ㄱ㑦㠴㠱扦愵慤㜴㐴㈶㤱㜸戳㜲挱昹收扤戰ㅤㅥ㐳㌵搷㥡㠶昳愵戸㐳っ㐶㜵㜱戹攷扣愴っ㑢㝢㤵攵㙡㉥㡣㠷挵㘱㜵戲㕢㘳㈸散㜰摣㠰㤵㔴㙦㙤㔱换㐴㘹て㑥〴㕥㘹㍡㔴摤㜳㌹㝤搲愵㝤㐸㤵㉣㐶愸㍢攷㜲〷ち㈱㥣晦㌹㝡昴搰㉦ㅦづ㘱㐵㔲㌱㤷㠴收㤳搱㘲昳搶㑥㠲㠷㘸㠹㕣ㄵ㠹㠴慤搳㠵ㅤ攲㡦扥挴昴昰㡥㐴㈵挳㌰㍢㤸㑢㠷㘸昱扥㉢㑦㔲㙦㈵愴ㄲ㠹㌸㉤扤㍡㉢㜵㜴ㅢ扢㙣㉤昸㄰ㅢ攲ㅤ㔸て㡦㑥〹㍡ㄱ㜱㌸慢㔴㥡敤戶㐷摤㐲㘹扡愸挶慣〹㔵慡〸㙤捦㉦㕦㈶晣搲㔷晢ㄱ慦㕡慣㑢散搰㡦攲㝥扦攲㈹㉦㔹捥㈵攴攳㔸㔶㙤〱㠱㐶㔶㍥㠱ㄲ㔹㐳㌷㜵㐹㠱㠲㤵昳㘱㉥㝤愷っ搱搶㔰㐵㤹㐶扦㙤㉥搶愰㑦㕣ㄵ摡㤸㌷收攱㜶愹㔸㔵戵挷㠹慡㉥㥢㜳愵搹㠴㑢㠵愵㙡ㄸ㉣㌰搲㥢戱㙢〱愱ㄷ㤵㘱㍢㐵㠷㠳㍥晤愲攲㉡㌴㜸㝢㈸挱愲挷〰㠷㥤戰愴㍡㙣㙤ㅣ攸㝣㠶㐷㠲慢搹㙥ㅦ㥥㐴㜰㝣戸换摥敤㍢挵㤲攳㉡㕡㈱㠸㑢㌲晥㌸愶㡥攱㕥敥㠰ㄷ㌸㝣㑣搲㘵ㅦ昶㉤㌷愰〹改ㄶ㘶㔷搶㤴㌴戳搲昶㑥挷挵〱㡡晡㘴扥挷ㅥ㥦昴㑥挱㌶㥣㉥扢扢慤愹攰戲㘰ㄴ愴㔰㥣愲㔳㤵ㄴ挹愴挸㈴㌳㑢搵㔵㄰㠸㈰㐹㑢㌶㐹㄰戳㡡㤱㤷ㄶ攷戵㉥戲挵㌱搵摣捡㌷扤㈳㥣㝢捣㐳ㄹ㉣㥦攴㌷㑦〱摣戲晢挸攸㝣搴晢ㅤ㍤扣㐹㌳㔶搴㐲ㄵ攸㙤㌱ㄷ㘲愳戵摣ㅤ㙤ㄵ搶㜱攷㐸捤㜱㤶敡户㕦搶搶㌸摣㠹搰㥥㐴㘷㜶ㄷ㉥ㄹ㍢㜱昰㈱㝡ㄱ㡤㠲捣敤㡥ち㡣㐷㤶慤ㄲ㠲改扡つ敥㐶搹攲搶攲戶ㅣ㠷摣㔶ㄹ㙤㕣㐳㤲㐸ㅢ㐰敦扦戸捡㥡㐱㤵㌵愳慢愰㡥ㄹ㌶搷㜹搲昲㡥㔹扥ㄳ㑥㤶㥤㐲㠶〵㠶戶㉦㡢㍤㠹㉤ㄴ搹戳㔸㔱㈴扤㌱㘱愹搶挷挸愲㘸ㄱ搸㥤㠳昳挰愵㈳晢戱㜳㤳㕡㠷㡢㈵挶㈴戱㝤㈵㑤㕢昹㈷〰改㈴〰挴㍥㈰㔲㤵〱㠶ㅡ㉤㠴〴攳㠷㙣㤶㝦㑡㡣㌸〹〶っ㉢㕥ㄴ敢㘲㔷敦捦㤰㤵摦〰㄰㜹㠰㈶〸㝦㑥㠴㙦〲愴㉤㠰晡慤户㘰㜸㡣㝥㈴㙥慥ㄱㄱ捣㤴改戹㐲㠷ㅢ戸戱㐶昸て摥慦搱㤱㌹㡡㜶昹ㄷ〰㍦㍥㝦㝥㍢㝥ㄲ㠲昱愷㑡晦摡㐳捥ㄲ捡㙦ㄱ㝣㥢〸攵㉡〴㘴㉢㌳昸づ戲昲扢〰挲〵愸㔰㐰戶㠲昰㍤㘴攵昷〱挴〹㠰ち挲ち㡤㐰㈸㥦㈶㌸〷㈰ㄸ㠸愹㈰㈰㕢愱昰〳㘴攵㌳〰㠲㐱㥡㈶〸捦ㄲ攱㉦㠹昰改㉡㠴慡㉥㝥㐸㠴攷㠸昰昹㉡〴㘴㉢㕤晣〸㔹昹㔷〰㠲㐱㤱㈶㕤㍣㑦㠴ㄷ㠸昰㠵㉡㠴慡㉥捥ㄳ攱挷〰㈶摤㜷㈶㤳㉥㍣㤳㜹㈶晡㑤㤸㘷㉢㤹慦㈰挳昷㈱挶㕦〳㤸㐳㍢昳㜳扡㠸ㄷ慥挶摦愰戶㈳㡦㐳㡥㉢㔲㡡つ攳㐵㔴㜴攵㈳捤ㄱ㥤㔶攳㈵㔴㜵攲㑢㕤㍣㠴㡢㌵攳㙦㔱搳㡤㥡㉡攱㘹晣ㅤ敡㔶愰慥昶晤㥡挹搸〰晢捦〸㠴挸戹愵戳晡㤹㔷昴攰敢㘵㤴㑤㐶〸㤸捣〷愳摦㠴挹㤰〰㤳挹戰〰㤳昹㌵〰㔲㤱㥣㠵攴愰㈵〷㉡㌹㌴挹搱㐸㜶㙦㌲㑡㔰搷搹㉡㌶昶ㄲ晣ㄳ㐰晡ㄱ㠰㔶㡦㙡收㝤㔴㙥㑡戳㉡㜰挰搵〹㔶搸〷愷慤ㄲ摥攵敤㠷昱ㅡ戲敡㜲㤰㕡愹挸㠵愸扦㈸慤㝤㤶㠵戰㠷㥥挲㙦摤㐹㕢扤㝥つ㙡㜱攳戹〵摡慡㡦〳㑢㤷昶㔸㈷㥢敥㐳搸㙣㜱扤〸㡣愷晤㈴摦扡攴昳㠹っ晢愴㔰挹捡搷〸㜱ㄷ昲㈸㝥㠹㔳㉢攷攸㠴㌶搴愶㘹㌰户搰昶㜵搶㌹扦敦㥤㡦㤸㔱ぢ昵㤷昸㐶户㔹愸慤㔶改晦㡣摤搳㈰㙦ㄸ㠳愰㍤愰㙢摦㠸㌳㥣㑥㥡㌲晤愲㙡㠴扡〷㜱〷㈸㤴昱㜰戶〴㈵捥慣㝥㝢ㄳ㔵㐲挰㐶捤ㄸ戴攷挳㈳㐹搵摦㔴捤㝤㝢㄰愴㍡㔶搵摤っ敡捦搸昲ㄴ晥搳㙢挰愲〵扦攷っ收戹挲㙦㤸㡣㕦〰慣摡敢攰ㄹ㐵攰搹㘱摦㌸っ搱㍥摥ㄵ摢㜰㐹〶搳㔷㠱㘲搳㍥㌹戱㤴换㈷慣㥡搱搹攳慥㜷捡搵愳㐹〷㝣㥤愶搷慢扤㥤摤搰愶搲㘹㉤㔶搱慣攸㌶㤳ち㡣挹愴ㄲ㘳㌲愹戱㤸㑣㙡㉤愶ㅥ敡ㄹ㝥㑥ㄹ戰慣挹愴㜶㈲ㅢ㈳㘱昳ㄲ㜳㕡攲㔰㘱改晡搵慣攲慤㥤扣〰㘰㔲㔹㌱㤹㔴㔸㑣㈶戵ㄳ㤳㐹つ挵㘴㍥つ戰〸愱㜶㉥㐶慢㤲愰㝤愸㤲搷㄰晣㈷㠰㐹戵挵㘴㍥ㄳ晤㈶㑣敡㈹㈶㤳扡㡡挹晣㈱挰㈲㍡愳敡㈲㕡㔵㘷搷愳㈸慦㈳攰慥㌶愹挰㤸㑣㉡㌱㈶㤳ㅡ㡢挹㝣㈱晡㑤㤸㔴㔱㡢攸㡣㑡慣慥戳㜵愸㤲晤〴ㄲ㥤〹㉡㠸ㄵ㉣㝤㤸㘰㍢挱㐷〰挴㝦晣昷〲户㔰扦㡡ㅢㅡ摥攴㔰晡㌷愳㜴㘱㈱㑡扦㡣ㅢ敡㥦扡㠸搷㌸〰㡥㘴ㄵ㈰㜹捦㝦昱戳㑡㙤㘵挳戲搶愴〴攰搶㤷㔷〲户慢㑤㜰㙦捣㡦挲㘱㡢㥥捦㍦㉦㌴㡡㌷攲㠶㠶㕢㌵㌲㝥㥥搲晣捡扣戶㄰愵㔷攳㠶㠶换㉡㑥愶ㄹ愵㔷ㄶ愲昴て㜱㐳挳ㅤ㄰㔹搶㡣搲㑦ㄷ愲昴㜲摣㔰㝦戵㘲㜲㘹昵扡昵㈳㈳搷ㄱ慣〷挸愶戹㡥ㅦ㕣昸㡤㐴攴㤶捣㍦愹改挱㉡愵㙤ち搰づ㍢㝡搱㐲ㅤ愸㈳扢㈵㉤㝤㍡攱愱昸㜸㉡㍢〶㠷ㅢ㝥〹㕥㌱挷昶ぢㅣ㜱ㅡ戵㤵㥢ㄹ愹㑢晣搸戰昷晢戸慡㘹户㐷〳㤸㔲挵っ㕥㘴㠶㜸㘴攴㕥づ㠶〰昴㐱㡡㌶ㄶ昶愴㝥㘸摢㔴ㄴㅦ㐴㜳扤㜹㕦㜵㡢㌲扦ㅥ㤵昸㔵㤲㡥捤搲㈲㡤㐶づ晣㥡㝦摥愰㘵㝦㤰ㄴ㉦㠱敦㔴ㄵ搹㝦摤戸晡㙤㍤摥㐴㌲㈱㌷㤰捤㍣ㄳ㐲捦〱㘱㝤戹㤱㔵㥢㔱愵㐱㈲捤敤㜰昳挲散慦戲㐷晢愱敡㙢摥㌲㡦攰㙤昲㉣〹户攱㙥㉤慤㙤搹㔴昲㌷㤷㐶㑢㙦㈲㤰愲慥㐹㥦挷㘴摥〱ㅤ捣愸㑡捦㤲㈲㘵㕤㈶㘹〸㙥㝢㑥㔸扣㠰ㅥ搸ぢ㑦㜹〶摥㈸㡦㠲㙥㜸㍥㙥搸㠱〶戹ㄵ戵㘹慥攱愲㤹ぢ摣愵㥡㍦摢昰慤㈰㜷㐸㐳摥ㄴ㘷㔸攸攱㌸㙥㐷㈶㌹㈳ち㐷㡢㐷㡦扥搵㤳敡㕢㤳晡搸㐷㍢扦昴敡昳慦㝦昱㈷㜷㙣晦挵慦扦晣攵㥦晣晣㡢攷㝦晤㥤㠹敤捦㍤昰挰戳户㥣㌹晦晡㑡晢㙣昲ㅢ㙦㡤㥤扤㘷攰昸㍤㈷散㈳ㅦ摣㝤捦挷敦㍡㌸㜰㘰㐵㝦㕢㕢㝢晢つ扤㍦扡敡㐶昳㔳㈷扥㈹捥晤晤扢㕣愱晢㘶户ㄵ㔱㡢㝣挲攴ㄸ戴挸戸ㄹㄹ㠸㕡晥攸㐵㝡㌶㕥愴㥤挰㠲㕡敢昸ㅦ捦㌳㡦ㄵ</t>
  </si>
  <si>
    <t>&gt;=</t>
  </si>
  <si>
    <t>Give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</si>
</sst>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4"/>
        <bgColor indexed="64"/>
      </patternFill>
    </fill>
    <fill>
      <patternFill patternType="solid">
        <fgColor rgb="FFFF9999"/>
        <bgColor indexed="64"/>
      </patternFill>
    </fill>
    <fill>
      <patternFill patternType="solid">
        <fgColor rgb="FFFF6699"/>
        <bgColor indexed="64"/>
      </patternFill>
    </fill>
    <fill>
      <patternFill patternType="solid">
        <fgColor rgb="FF00FFFF"/>
        <bgColor indexed="64"/>
      </patternFill>
    </fill>
  </fills>
  <borders count="1">
    <border>
      <left/>
      <right/>
      <top/>
      <bottom/>
      <diagonal/>
    </border>
  </borders>
  <cellStyleXfs count="9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2">
    <xf numFmtId="0" fontId="0" fillId="0" borderId="0" xfId="0"/>
    <xf numFmtId="0" fontId="0" fillId="2" borderId="0" xfId="0" applyFill="1"/>
    <xf numFmtId="0" fontId="1" fillId="0" borderId="0" xfId="0" applyFont="1"/>
    <xf numFmtId="0" fontId="0" fillId="0" borderId="0" xfId="0" applyFill="1"/>
    <xf numFmtId="0" fontId="0" fillId="0" borderId="0" xfId="0" applyNumberFormat="1"/>
    <xf numFmtId="0" fontId="0" fillId="0" borderId="0" xfId="0" quotePrefix="1"/>
    <xf numFmtId="0" fontId="0" fillId="3" borderId="0" xfId="0" applyFill="1"/>
    <xf numFmtId="0" fontId="1" fillId="4" borderId="0" xfId="0" applyFont="1" applyFill="1"/>
    <xf numFmtId="0" fontId="0" fillId="5" borderId="0" xfId="0" applyFill="1"/>
    <xf numFmtId="0" fontId="1" fillId="6" borderId="0" xfId="0" applyFont="1" applyFill="1"/>
    <xf numFmtId="0" fontId="1" fillId="0" borderId="0" xfId="0" applyFont="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center"/>
    </xf>
    <xf numFmtId="0" fontId="0" fillId="0" borderId="0" xfId="0" applyFont="1" applyAlignment="1">
      <alignment horizontal="center" vertical="center"/>
    </xf>
    <xf numFmtId="0" fontId="0" fillId="0" borderId="0" xfId="0" applyFont="1" applyFill="1" applyAlignment="1">
      <alignment horizontal="center"/>
    </xf>
    <xf numFmtId="0" fontId="0" fillId="2" borderId="0" xfId="0" applyFill="1" applyAlignment="1">
      <alignment horizontal="center"/>
    </xf>
    <xf numFmtId="0" fontId="1" fillId="0" borderId="0" xfId="0" applyFont="1" applyFill="1" applyAlignment="1">
      <alignment horizontal="center"/>
    </xf>
    <xf numFmtId="0" fontId="0" fillId="0" borderId="0" xfId="0" applyFill="1" applyAlignment="1">
      <alignment horizontal="left"/>
    </xf>
    <xf numFmtId="0" fontId="0" fillId="7" borderId="0" xfId="0" applyFill="1"/>
  </cellXfs>
  <cellStyles count="9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Normal" xfId="0" builtinId="0"/>
  </cellStyles>
  <dxfs count="0"/>
  <tableStyles count="0" defaultTableStyle="TableStyleMedium2" defaultPivotStyle="PivotStyleLight16"/>
  <colors>
    <mruColors>
      <color rgb="FFFF9999"/>
      <color rgb="FFFF66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76"/>
  <sheetViews>
    <sheetView workbookViewId="0"/>
  </sheetViews>
  <sheetFormatPr defaultColWidth="8.85546875" defaultRowHeight="15" x14ac:dyDescent="0.25"/>
  <cols>
    <col min="1" max="3" width="36.7109375" customWidth="1"/>
  </cols>
  <sheetData>
    <row r="1" spans="1:16" x14ac:dyDescent="0.25">
      <c r="A1" s="2" t="s">
        <v>14</v>
      </c>
    </row>
    <row r="2" spans="1:16" x14ac:dyDescent="0.25">
      <c r="P2">
        <f ca="1">_xll.CB.RecalcCounterFN()</f>
        <v>0</v>
      </c>
    </row>
    <row r="3" spans="1:16" x14ac:dyDescent="0.25">
      <c r="A3" t="s">
        <v>15</v>
      </c>
      <c r="B3" t="s">
        <v>16</v>
      </c>
      <c r="C3">
        <v>0</v>
      </c>
    </row>
    <row r="4" spans="1:16" x14ac:dyDescent="0.25">
      <c r="A4" t="s">
        <v>17</v>
      </c>
    </row>
    <row r="5" spans="1:16" x14ac:dyDescent="0.25">
      <c r="A5" t="s">
        <v>18</v>
      </c>
    </row>
    <row r="7" spans="1:16" x14ac:dyDescent="0.25">
      <c r="A7" s="2" t="s">
        <v>19</v>
      </c>
      <c r="B7" t="s">
        <v>20</v>
      </c>
    </row>
    <row r="8" spans="1:16" x14ac:dyDescent="0.25">
      <c r="B8">
        <v>3</v>
      </c>
    </row>
    <row r="10" spans="1:16" x14ac:dyDescent="0.25">
      <c r="A10" t="s">
        <v>21</v>
      </c>
    </row>
    <row r="11" spans="1:16" x14ac:dyDescent="0.25">
      <c r="A11" t="e">
        <f>CB_DATA_!#REF!</f>
        <v>#REF!</v>
      </c>
      <c r="B11" t="e">
        <f>'CrystalBall Pair Generation'!#REF!</f>
        <v>#REF!</v>
      </c>
      <c r="C11" t="e">
        <f>'Feasibility Output'!#REF!</f>
        <v>#REF!</v>
      </c>
    </row>
    <row r="13" spans="1:16" x14ac:dyDescent="0.25">
      <c r="A13" t="s">
        <v>22</v>
      </c>
    </row>
    <row r="14" spans="1:16" x14ac:dyDescent="0.25">
      <c r="A14" t="s">
        <v>26</v>
      </c>
      <c r="B14" t="s">
        <v>30</v>
      </c>
      <c r="C14" t="s">
        <v>76</v>
      </c>
    </row>
    <row r="16" spans="1:16" x14ac:dyDescent="0.25">
      <c r="A16" t="s">
        <v>23</v>
      </c>
    </row>
    <row r="19" spans="1:3" x14ac:dyDescent="0.25">
      <c r="A19" t="s">
        <v>24</v>
      </c>
    </row>
    <row r="20" spans="1:3" x14ac:dyDescent="0.25">
      <c r="A20">
        <v>28</v>
      </c>
      <c r="B20">
        <v>31</v>
      </c>
      <c r="C20">
        <v>76</v>
      </c>
    </row>
    <row r="25" spans="1:3" x14ac:dyDescent="0.25">
      <c r="A25" s="2" t="s">
        <v>25</v>
      </c>
    </row>
    <row r="26" spans="1:3" x14ac:dyDescent="0.25">
      <c r="A26" s="5" t="s">
        <v>27</v>
      </c>
      <c r="B26" s="5" t="s">
        <v>31</v>
      </c>
      <c r="C26" s="5" t="s">
        <v>92</v>
      </c>
    </row>
    <row r="27" spans="1:3" x14ac:dyDescent="0.25">
      <c r="A27" t="s">
        <v>28</v>
      </c>
      <c r="B27" t="s">
        <v>107</v>
      </c>
      <c r="C27" t="s">
        <v>109</v>
      </c>
    </row>
    <row r="28" spans="1:3" x14ac:dyDescent="0.25">
      <c r="A28" s="5" t="s">
        <v>29</v>
      </c>
      <c r="B28" s="5" t="s">
        <v>29</v>
      </c>
      <c r="C28" s="5" t="s">
        <v>29</v>
      </c>
    </row>
    <row r="29" spans="1:3" x14ac:dyDescent="0.25">
      <c r="B29" s="5" t="s">
        <v>27</v>
      </c>
      <c r="C29" s="5" t="s">
        <v>27</v>
      </c>
    </row>
    <row r="30" spans="1:3" x14ac:dyDescent="0.25">
      <c r="B30" t="s">
        <v>32</v>
      </c>
      <c r="C30" t="s">
        <v>77</v>
      </c>
    </row>
    <row r="31" spans="1:3" x14ac:dyDescent="0.25">
      <c r="B31" s="5" t="s">
        <v>29</v>
      </c>
      <c r="C31" s="5" t="s">
        <v>29</v>
      </c>
    </row>
    <row r="32" spans="1:3" x14ac:dyDescent="0.25">
      <c r="C32" s="5" t="s">
        <v>91</v>
      </c>
    </row>
    <row r="33" spans="3:3" x14ac:dyDescent="0.25">
      <c r="C33" t="s">
        <v>108</v>
      </c>
    </row>
    <row r="34" spans="3:3" x14ac:dyDescent="0.25">
      <c r="C34" s="5" t="s">
        <v>29</v>
      </c>
    </row>
    <row r="35" spans="3:3" x14ac:dyDescent="0.25">
      <c r="C35" s="5" t="s">
        <v>90</v>
      </c>
    </row>
    <row r="36" spans="3:3" x14ac:dyDescent="0.25">
      <c r="C36" t="s">
        <v>93</v>
      </c>
    </row>
    <row r="37" spans="3:3" x14ac:dyDescent="0.25">
      <c r="C37" s="5" t="s">
        <v>29</v>
      </c>
    </row>
    <row r="38" spans="3:3" x14ac:dyDescent="0.25">
      <c r="C38" s="5" t="s">
        <v>89</v>
      </c>
    </row>
    <row r="39" spans="3:3" x14ac:dyDescent="0.25">
      <c r="C39" t="s">
        <v>94</v>
      </c>
    </row>
    <row r="40" spans="3:3" x14ac:dyDescent="0.25">
      <c r="C40" s="5" t="s">
        <v>29</v>
      </c>
    </row>
    <row r="41" spans="3:3" x14ac:dyDescent="0.25">
      <c r="C41" s="5" t="s">
        <v>88</v>
      </c>
    </row>
    <row r="42" spans="3:3" x14ac:dyDescent="0.25">
      <c r="C42" t="s">
        <v>95</v>
      </c>
    </row>
    <row r="43" spans="3:3" x14ac:dyDescent="0.25">
      <c r="C43" s="5" t="s">
        <v>29</v>
      </c>
    </row>
    <row r="44" spans="3:3" x14ac:dyDescent="0.25">
      <c r="C44" s="5" t="s">
        <v>87</v>
      </c>
    </row>
    <row r="45" spans="3:3" x14ac:dyDescent="0.25">
      <c r="C45" t="s">
        <v>96</v>
      </c>
    </row>
    <row r="46" spans="3:3" x14ac:dyDescent="0.25">
      <c r="C46" s="5" t="s">
        <v>29</v>
      </c>
    </row>
    <row r="47" spans="3:3" x14ac:dyDescent="0.25">
      <c r="C47" s="5" t="s">
        <v>86</v>
      </c>
    </row>
    <row r="48" spans="3:3" x14ac:dyDescent="0.25">
      <c r="C48" t="s">
        <v>97</v>
      </c>
    </row>
    <row r="49" spans="3:3" x14ac:dyDescent="0.25">
      <c r="C49" s="5" t="s">
        <v>29</v>
      </c>
    </row>
    <row r="50" spans="3:3" x14ac:dyDescent="0.25">
      <c r="C50" s="5" t="s">
        <v>85</v>
      </c>
    </row>
    <row r="51" spans="3:3" x14ac:dyDescent="0.25">
      <c r="C51" t="s">
        <v>98</v>
      </c>
    </row>
    <row r="52" spans="3:3" x14ac:dyDescent="0.25">
      <c r="C52" s="5" t="s">
        <v>29</v>
      </c>
    </row>
    <row r="53" spans="3:3" x14ac:dyDescent="0.25">
      <c r="C53" s="5" t="s">
        <v>84</v>
      </c>
    </row>
    <row r="54" spans="3:3" x14ac:dyDescent="0.25">
      <c r="C54" t="s">
        <v>99</v>
      </c>
    </row>
    <row r="55" spans="3:3" x14ac:dyDescent="0.25">
      <c r="C55" s="5" t="s">
        <v>29</v>
      </c>
    </row>
    <row r="56" spans="3:3" x14ac:dyDescent="0.25">
      <c r="C56" s="5" t="s">
        <v>83</v>
      </c>
    </row>
    <row r="57" spans="3:3" x14ac:dyDescent="0.25">
      <c r="C57" t="s">
        <v>100</v>
      </c>
    </row>
    <row r="58" spans="3:3" x14ac:dyDescent="0.25">
      <c r="C58" s="5" t="s">
        <v>29</v>
      </c>
    </row>
    <row r="59" spans="3:3" x14ac:dyDescent="0.25">
      <c r="C59" s="5" t="s">
        <v>82</v>
      </c>
    </row>
    <row r="60" spans="3:3" x14ac:dyDescent="0.25">
      <c r="C60" t="s">
        <v>101</v>
      </c>
    </row>
    <row r="61" spans="3:3" x14ac:dyDescent="0.25">
      <c r="C61" s="5" t="s">
        <v>29</v>
      </c>
    </row>
    <row r="62" spans="3:3" x14ac:dyDescent="0.25">
      <c r="C62" s="5" t="s">
        <v>81</v>
      </c>
    </row>
    <row r="63" spans="3:3" x14ac:dyDescent="0.25">
      <c r="C63" t="s">
        <v>102</v>
      </c>
    </row>
    <row r="64" spans="3:3" x14ac:dyDescent="0.25">
      <c r="C64" s="5" t="s">
        <v>29</v>
      </c>
    </row>
    <row r="65" spans="3:3" x14ac:dyDescent="0.25">
      <c r="C65" s="5" t="s">
        <v>80</v>
      </c>
    </row>
    <row r="66" spans="3:3" x14ac:dyDescent="0.25">
      <c r="C66" t="s">
        <v>103</v>
      </c>
    </row>
    <row r="67" spans="3:3" x14ac:dyDescent="0.25">
      <c r="C67" s="5" t="s">
        <v>29</v>
      </c>
    </row>
    <row r="68" spans="3:3" x14ac:dyDescent="0.25">
      <c r="C68" s="5" t="s">
        <v>79</v>
      </c>
    </row>
    <row r="69" spans="3:3" x14ac:dyDescent="0.25">
      <c r="C69" t="s">
        <v>104</v>
      </c>
    </row>
    <row r="70" spans="3:3" x14ac:dyDescent="0.25">
      <c r="C70" s="5" t="s">
        <v>29</v>
      </c>
    </row>
    <row r="71" spans="3:3" x14ac:dyDescent="0.25">
      <c r="C71" s="5" t="s">
        <v>78</v>
      </c>
    </row>
    <row r="72" spans="3:3" x14ac:dyDescent="0.25">
      <c r="C72" t="s">
        <v>105</v>
      </c>
    </row>
    <row r="73" spans="3:3" x14ac:dyDescent="0.25">
      <c r="C73" s="5" t="s">
        <v>29</v>
      </c>
    </row>
    <row r="74" spans="3:3" x14ac:dyDescent="0.25">
      <c r="C74" s="5" t="s">
        <v>31</v>
      </c>
    </row>
    <row r="75" spans="3:3" x14ac:dyDescent="0.25">
      <c r="C75" t="s">
        <v>106</v>
      </c>
    </row>
    <row r="76" spans="3:3" x14ac:dyDescent="0.25">
      <c r="C76" s="5" t="s">
        <v>29</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4:S384"/>
  <sheetViews>
    <sheetView topLeftCell="A3" zoomScale="70" zoomScaleNormal="70" workbookViewId="0">
      <selection activeCell="A3" sqref="A3"/>
    </sheetView>
  </sheetViews>
  <sheetFormatPr defaultColWidth="8.85546875" defaultRowHeight="15" x14ac:dyDescent="0.25"/>
  <cols>
    <col min="5" max="5" width="12" bestFit="1" customWidth="1"/>
    <col min="6" max="6" width="11.7109375" customWidth="1"/>
    <col min="7" max="7" width="20.7109375" bestFit="1" customWidth="1"/>
    <col min="8" max="8" width="24.28515625" bestFit="1" customWidth="1"/>
    <col min="9" max="9" width="12.140625" style="13" bestFit="1" customWidth="1"/>
    <col min="10" max="10" width="12.28515625" style="13" bestFit="1" customWidth="1"/>
    <col min="11" max="12" width="12.28515625" style="13" customWidth="1"/>
    <col min="13" max="13" width="20.5703125" style="13" bestFit="1" customWidth="1"/>
    <col min="14" max="14" width="21.5703125" bestFit="1" customWidth="1"/>
    <col min="15" max="15" width="18.5703125" bestFit="1" customWidth="1"/>
    <col min="16" max="16" width="24.42578125" bestFit="1" customWidth="1"/>
    <col min="17" max="17" width="20.5703125" bestFit="1" customWidth="1"/>
  </cols>
  <sheetData>
    <row r="4" spans="1:19" x14ac:dyDescent="0.25">
      <c r="A4" s="10" t="s">
        <v>48</v>
      </c>
      <c r="B4" s="7" t="s">
        <v>37</v>
      </c>
      <c r="C4" s="7" t="s">
        <v>40</v>
      </c>
      <c r="D4" s="9" t="s">
        <v>38</v>
      </c>
      <c r="E4" s="9" t="s">
        <v>41</v>
      </c>
      <c r="F4" s="11"/>
      <c r="G4" s="10" t="s">
        <v>69</v>
      </c>
      <c r="H4" s="10" t="s">
        <v>70</v>
      </c>
      <c r="I4" s="14" t="s">
        <v>37</v>
      </c>
      <c r="J4" s="14" t="s">
        <v>40</v>
      </c>
      <c r="K4" s="14" t="s">
        <v>38</v>
      </c>
      <c r="L4" s="14" t="s">
        <v>41</v>
      </c>
      <c r="M4" s="14" t="s">
        <v>64</v>
      </c>
      <c r="N4" s="10" t="s">
        <v>65</v>
      </c>
      <c r="O4" s="14" t="s">
        <v>66</v>
      </c>
      <c r="P4" s="10" t="s">
        <v>67</v>
      </c>
      <c r="Q4" s="10" t="s">
        <v>68</v>
      </c>
      <c r="R4" s="19" t="s">
        <v>36</v>
      </c>
      <c r="S4" s="11"/>
    </row>
    <row r="5" spans="1:19" x14ac:dyDescent="0.25">
      <c r="A5" s="11" t="s">
        <v>3</v>
      </c>
      <c r="B5" s="6" t="str">
        <f ca="1">'CrystalBall Pair Generation'!B8</f>
        <v>A</v>
      </c>
      <c r="C5" s="6" t="str">
        <f ca="1">'CrystalBall Pair Generation'!D8</f>
        <v>Rare</v>
      </c>
      <c r="D5" s="8" t="str">
        <f ca="1">'CrystalBall Pair Generation'!G8</f>
        <v>O</v>
      </c>
      <c r="E5" s="8" t="str">
        <f ca="1">'CrystalBall Pair Generation'!I8</f>
        <v>Rare</v>
      </c>
      <c r="G5" t="str">
        <f>$A$5</f>
        <v>D1-R1</v>
      </c>
      <c r="H5" t="str">
        <f>$A$6</f>
        <v>D2-R2</v>
      </c>
      <c r="I5" s="13" t="str">
        <f t="shared" ref="I5:I23" ca="1" si="0">$B$5</f>
        <v>A</v>
      </c>
      <c r="J5" s="13" t="str">
        <f t="shared" ref="J5:J23" ca="1" si="1">$C$5</f>
        <v>Rare</v>
      </c>
      <c r="K5" s="13" t="str">
        <f ca="1">$D$6</f>
        <v>AB</v>
      </c>
      <c r="L5" s="13" t="str">
        <f ca="1">$E$6</f>
        <v>Frequent</v>
      </c>
      <c r="M5" s="13">
        <f ca="1">checkFeasibility(I5,K5)</f>
        <v>1</v>
      </c>
      <c r="N5" s="3">
        <f ca="1">checkFeasibility(J5,L5)</f>
        <v>1</v>
      </c>
      <c r="O5">
        <f ca="1">IF(SUM(M5,N5)=2,1,0)</f>
        <v>1</v>
      </c>
      <c r="P5" s="12">
        <f ca="1">SUM(O5:O384)</f>
        <v>218</v>
      </c>
      <c r="Q5" s="12">
        <f ca="1">P5/COUNT(O5:O384)</f>
        <v>0.5736842105263158</v>
      </c>
      <c r="R5" s="18"/>
      <c r="S5" s="11"/>
    </row>
    <row r="6" spans="1:19" x14ac:dyDescent="0.25">
      <c r="A6" s="11" t="s">
        <v>4</v>
      </c>
      <c r="B6" s="6" t="str">
        <f ca="1">'CrystalBall Pair Generation'!B9</f>
        <v>AB</v>
      </c>
      <c r="C6" s="6" t="str">
        <f ca="1">'CrystalBall Pair Generation'!D9</f>
        <v>Rare</v>
      </c>
      <c r="D6" s="8" t="str">
        <f ca="1">'CrystalBall Pair Generation'!G9</f>
        <v>AB</v>
      </c>
      <c r="E6" s="8" t="str">
        <f ca="1">'CrystalBall Pair Generation'!I9</f>
        <v>Frequent</v>
      </c>
      <c r="G6" t="str">
        <f t="shared" ref="G6:G23" si="2">$A$5</f>
        <v>D1-R1</v>
      </c>
      <c r="H6" t="str">
        <f>$A$7</f>
        <v>D3-R3</v>
      </c>
      <c r="I6" s="13" t="str">
        <f t="shared" ca="1" si="0"/>
        <v>A</v>
      </c>
      <c r="J6" s="11" t="str">
        <f t="shared" ca="1" si="1"/>
        <v>Rare</v>
      </c>
      <c r="K6" s="11" t="str">
        <f ca="1">$D$7</f>
        <v>B</v>
      </c>
      <c r="L6" s="11" t="str">
        <f ca="1">$E$7</f>
        <v>Frequent</v>
      </c>
      <c r="M6" s="13">
        <f t="shared" ref="M6:M69" ca="1" si="3">checkFeasibility(I6,K6)</f>
        <v>0</v>
      </c>
      <c r="N6" s="3">
        <f t="shared" ref="N6:N69" ca="1" si="4">checkFeasibility(J6,L6)</f>
        <v>1</v>
      </c>
      <c r="O6">
        <f t="shared" ref="O6:O69" ca="1" si="5">IF(SUM(M6,N6)=2,1,0)</f>
        <v>0</v>
      </c>
      <c r="P6" s="11"/>
      <c r="Q6" s="11"/>
      <c r="R6" s="18"/>
    </row>
    <row r="7" spans="1:19" x14ac:dyDescent="0.25">
      <c r="A7" s="11" t="s">
        <v>5</v>
      </c>
      <c r="B7" s="6" t="str">
        <f ca="1">'CrystalBall Pair Generation'!B10</f>
        <v>O</v>
      </c>
      <c r="C7" s="6" t="str">
        <f ca="1">'CrystalBall Pair Generation'!D10</f>
        <v>Rare</v>
      </c>
      <c r="D7" s="8" t="str">
        <f ca="1">'CrystalBall Pair Generation'!G10</f>
        <v>B</v>
      </c>
      <c r="E7" s="8" t="str">
        <f ca="1">'CrystalBall Pair Generation'!I10</f>
        <v>Frequent</v>
      </c>
      <c r="G7" t="str">
        <f t="shared" si="2"/>
        <v>D1-R1</v>
      </c>
      <c r="H7" t="str">
        <f>$A$8</f>
        <v>D4-R4</v>
      </c>
      <c r="I7" s="13" t="str">
        <f t="shared" ca="1" si="0"/>
        <v>A</v>
      </c>
      <c r="J7" s="15" t="str">
        <f t="shared" ca="1" si="1"/>
        <v>Rare</v>
      </c>
      <c r="K7" s="15" t="str">
        <f ca="1">$D$8</f>
        <v>A</v>
      </c>
      <c r="L7" s="15" t="str">
        <f ca="1">$E$8</f>
        <v>Frequent</v>
      </c>
      <c r="M7" s="13">
        <f t="shared" ca="1" si="3"/>
        <v>1</v>
      </c>
      <c r="N7" s="3">
        <f t="shared" ca="1" si="4"/>
        <v>1</v>
      </c>
      <c r="O7">
        <f t="shared" ca="1" si="5"/>
        <v>1</v>
      </c>
      <c r="P7" s="11"/>
      <c r="R7" s="18"/>
    </row>
    <row r="8" spans="1:19" x14ac:dyDescent="0.25">
      <c r="A8" s="11" t="s">
        <v>6</v>
      </c>
      <c r="B8" s="6" t="str">
        <f ca="1">'CrystalBall Pair Generation'!B11</f>
        <v>A</v>
      </c>
      <c r="C8" s="6" t="str">
        <f ca="1">'CrystalBall Pair Generation'!D11</f>
        <v>Rare</v>
      </c>
      <c r="D8" s="8" t="str">
        <f ca="1">'CrystalBall Pair Generation'!G11</f>
        <v>A</v>
      </c>
      <c r="E8" s="8" t="str">
        <f ca="1">'CrystalBall Pair Generation'!I11</f>
        <v>Frequent</v>
      </c>
      <c r="G8" t="str">
        <f t="shared" si="2"/>
        <v>D1-R1</v>
      </c>
      <c r="H8" t="str">
        <f>$A$9</f>
        <v>D5-R5</v>
      </c>
      <c r="I8" s="13" t="str">
        <f t="shared" ca="1" si="0"/>
        <v>A</v>
      </c>
      <c r="J8" s="15" t="str">
        <f t="shared" ca="1" si="1"/>
        <v>Rare</v>
      </c>
      <c r="K8" s="15" t="str">
        <f ca="1">$D$9</f>
        <v>AB</v>
      </c>
      <c r="L8" s="15" t="str">
        <f ca="1">$E$9</f>
        <v>Rare</v>
      </c>
      <c r="M8" s="13">
        <f t="shared" ca="1" si="3"/>
        <v>1</v>
      </c>
      <c r="N8" s="3">
        <f t="shared" ca="1" si="4"/>
        <v>1</v>
      </c>
      <c r="O8">
        <f t="shared" ca="1" si="5"/>
        <v>1</v>
      </c>
      <c r="P8" s="11"/>
      <c r="R8" s="18"/>
    </row>
    <row r="9" spans="1:19" x14ac:dyDescent="0.25">
      <c r="A9" s="11" t="s">
        <v>7</v>
      </c>
      <c r="B9" s="6" t="str">
        <f ca="1">'CrystalBall Pair Generation'!B12</f>
        <v>AB</v>
      </c>
      <c r="C9" s="6" t="str">
        <f ca="1">'CrystalBall Pair Generation'!D12</f>
        <v>Frequent</v>
      </c>
      <c r="D9" s="8" t="str">
        <f ca="1">'CrystalBall Pair Generation'!G12</f>
        <v>AB</v>
      </c>
      <c r="E9" s="8" t="str">
        <f ca="1">'CrystalBall Pair Generation'!I12</f>
        <v>Rare</v>
      </c>
      <c r="G9" t="str">
        <f t="shared" si="2"/>
        <v>D1-R1</v>
      </c>
      <c r="H9" t="str">
        <f>$A$10</f>
        <v>D6-R6</v>
      </c>
      <c r="I9" s="13" t="str">
        <f t="shared" ca="1" si="0"/>
        <v>A</v>
      </c>
      <c r="J9" s="15" t="str">
        <f t="shared" ca="1" si="1"/>
        <v>Rare</v>
      </c>
      <c r="K9" s="15" t="str">
        <f ca="1">$D$10</f>
        <v>AB</v>
      </c>
      <c r="L9" s="15" t="str">
        <f ca="1">$E$10</f>
        <v>Frequent</v>
      </c>
      <c r="M9" s="13">
        <f t="shared" ca="1" si="3"/>
        <v>1</v>
      </c>
      <c r="N9" s="3">
        <f t="shared" ca="1" si="4"/>
        <v>1</v>
      </c>
      <c r="O9">
        <f t="shared" ca="1" si="5"/>
        <v>1</v>
      </c>
      <c r="P9" s="11"/>
      <c r="R9" s="18"/>
    </row>
    <row r="10" spans="1:19" x14ac:dyDescent="0.25">
      <c r="A10" s="11" t="s">
        <v>49</v>
      </c>
      <c r="B10" s="6" t="str">
        <f ca="1">'CrystalBall Pair Generation'!B13</f>
        <v>AB</v>
      </c>
      <c r="C10" s="6" t="str">
        <f ca="1">'CrystalBall Pair Generation'!D13</f>
        <v>Rare</v>
      </c>
      <c r="D10" s="8" t="str">
        <f ca="1">'CrystalBall Pair Generation'!G13</f>
        <v>AB</v>
      </c>
      <c r="E10" s="8" t="str">
        <f ca="1">'CrystalBall Pair Generation'!I13</f>
        <v>Frequent</v>
      </c>
      <c r="G10" t="str">
        <f t="shared" si="2"/>
        <v>D1-R1</v>
      </c>
      <c r="H10" t="str">
        <f>$A$11</f>
        <v>D7-R7</v>
      </c>
      <c r="I10" s="13" t="str">
        <f t="shared" ca="1" si="0"/>
        <v>A</v>
      </c>
      <c r="J10" s="15" t="str">
        <f t="shared" ca="1" si="1"/>
        <v>Rare</v>
      </c>
      <c r="K10" s="15" t="str">
        <f ca="1">$D$11</f>
        <v>O</v>
      </c>
      <c r="L10" s="15" t="str">
        <f ca="1">$E$11</f>
        <v>Frequent</v>
      </c>
      <c r="M10" s="13">
        <f t="shared" ca="1" si="3"/>
        <v>0</v>
      </c>
      <c r="N10" s="3">
        <f t="shared" ca="1" si="4"/>
        <v>1</v>
      </c>
      <c r="O10">
        <f t="shared" ca="1" si="5"/>
        <v>0</v>
      </c>
      <c r="P10" s="11"/>
      <c r="R10" s="18"/>
    </row>
    <row r="11" spans="1:19" x14ac:dyDescent="0.25">
      <c r="A11" s="11" t="s">
        <v>50</v>
      </c>
      <c r="B11" s="6" t="str">
        <f ca="1">'CrystalBall Pair Generation'!B14</f>
        <v>O</v>
      </c>
      <c r="C11" s="6" t="str">
        <f ca="1">'CrystalBall Pair Generation'!D14</f>
        <v>Rare</v>
      </c>
      <c r="D11" s="8" t="str">
        <f ca="1">'CrystalBall Pair Generation'!G14</f>
        <v>O</v>
      </c>
      <c r="E11" s="8" t="str">
        <f ca="1">'CrystalBall Pair Generation'!I14</f>
        <v>Frequent</v>
      </c>
      <c r="G11" t="str">
        <f t="shared" si="2"/>
        <v>D1-R1</v>
      </c>
      <c r="H11" t="str">
        <f>$A$12</f>
        <v>D8-R8</v>
      </c>
      <c r="I11" s="13" t="str">
        <f t="shared" ca="1" si="0"/>
        <v>A</v>
      </c>
      <c r="J11" s="15" t="str">
        <f t="shared" ca="1" si="1"/>
        <v>Rare</v>
      </c>
      <c r="K11" s="15" t="str">
        <f ca="1">$D$12</f>
        <v>B</v>
      </c>
      <c r="L11" s="15" t="str">
        <f ca="1">$E$12</f>
        <v>Rare</v>
      </c>
      <c r="M11" s="13">
        <f t="shared" ca="1" si="3"/>
        <v>0</v>
      </c>
      <c r="N11" s="3">
        <f t="shared" ca="1" si="4"/>
        <v>1</v>
      </c>
      <c r="O11">
        <f t="shared" ca="1" si="5"/>
        <v>0</v>
      </c>
      <c r="P11" s="11"/>
      <c r="R11" s="18"/>
    </row>
    <row r="12" spans="1:19" x14ac:dyDescent="0.25">
      <c r="A12" s="11" t="s">
        <v>51</v>
      </c>
      <c r="B12" s="6" t="str">
        <f ca="1">'CrystalBall Pair Generation'!B15</f>
        <v>B</v>
      </c>
      <c r="C12" s="6" t="str">
        <f ca="1">'CrystalBall Pair Generation'!D15</f>
        <v>Rare</v>
      </c>
      <c r="D12" s="8" t="str">
        <f ca="1">'CrystalBall Pair Generation'!G15</f>
        <v>B</v>
      </c>
      <c r="E12" s="8" t="str">
        <f ca="1">'CrystalBall Pair Generation'!I15</f>
        <v>Rare</v>
      </c>
      <c r="G12" t="str">
        <f t="shared" si="2"/>
        <v>D1-R1</v>
      </c>
      <c r="H12" t="str">
        <f>$A$13</f>
        <v>D9-R9</v>
      </c>
      <c r="I12" s="13" t="str">
        <f t="shared" ca="1" si="0"/>
        <v>A</v>
      </c>
      <c r="J12" s="15" t="str">
        <f t="shared" ca="1" si="1"/>
        <v>Rare</v>
      </c>
      <c r="K12" s="15" t="str">
        <f ca="1">$D$13</f>
        <v>A</v>
      </c>
      <c r="L12" s="15" t="str">
        <f ca="1">$E$13</f>
        <v>Frequent</v>
      </c>
      <c r="M12" s="13">
        <f t="shared" ca="1" si="3"/>
        <v>1</v>
      </c>
      <c r="N12" s="3">
        <f t="shared" ca="1" si="4"/>
        <v>1</v>
      </c>
      <c r="O12">
        <f t="shared" ca="1" si="5"/>
        <v>1</v>
      </c>
      <c r="P12" s="11"/>
      <c r="R12" s="18"/>
    </row>
    <row r="13" spans="1:19" x14ac:dyDescent="0.25">
      <c r="A13" s="11" t="s">
        <v>52</v>
      </c>
      <c r="B13" s="6" t="str">
        <f ca="1">'CrystalBall Pair Generation'!B16</f>
        <v>O</v>
      </c>
      <c r="C13" s="6" t="str">
        <f ca="1">'CrystalBall Pair Generation'!D16</f>
        <v>Frequent</v>
      </c>
      <c r="D13" s="8" t="str">
        <f ca="1">'CrystalBall Pair Generation'!G16</f>
        <v>A</v>
      </c>
      <c r="E13" s="8" t="str">
        <f ca="1">'CrystalBall Pair Generation'!I16</f>
        <v>Frequent</v>
      </c>
      <c r="G13" t="str">
        <f t="shared" si="2"/>
        <v>D1-R1</v>
      </c>
      <c r="H13" t="str">
        <f>$A$14</f>
        <v>D10-R10</v>
      </c>
      <c r="I13" s="13" t="str">
        <f t="shared" ca="1" si="0"/>
        <v>A</v>
      </c>
      <c r="J13" s="11" t="str">
        <f t="shared" ca="1" si="1"/>
        <v>Rare</v>
      </c>
      <c r="K13" s="11" t="str">
        <f ca="1">$D$14</f>
        <v>A</v>
      </c>
      <c r="L13" s="11" t="str">
        <f ca="1">$E$14</f>
        <v>Frequent</v>
      </c>
      <c r="M13" s="13">
        <f t="shared" ca="1" si="3"/>
        <v>1</v>
      </c>
      <c r="N13" s="3">
        <f t="shared" ca="1" si="4"/>
        <v>1</v>
      </c>
      <c r="O13">
        <f t="shared" ca="1" si="5"/>
        <v>1</v>
      </c>
      <c r="P13" s="11"/>
      <c r="R13" s="18"/>
    </row>
    <row r="14" spans="1:19" x14ac:dyDescent="0.25">
      <c r="A14" s="15" t="s">
        <v>53</v>
      </c>
      <c r="B14" s="6" t="str">
        <f ca="1">'CrystalBall Pair Generation'!B17</f>
        <v>AB</v>
      </c>
      <c r="C14" s="6" t="str">
        <f ca="1">'CrystalBall Pair Generation'!D17</f>
        <v>Frequent</v>
      </c>
      <c r="D14" s="8" t="str">
        <f ca="1">'CrystalBall Pair Generation'!G17</f>
        <v>A</v>
      </c>
      <c r="E14" s="8" t="str">
        <f ca="1">'CrystalBall Pair Generation'!I17</f>
        <v>Frequent</v>
      </c>
      <c r="G14" t="str">
        <f t="shared" si="2"/>
        <v>D1-R1</v>
      </c>
      <c r="H14" t="str">
        <f>$A$15</f>
        <v>D11-R11</v>
      </c>
      <c r="I14" s="13" t="str">
        <f t="shared" ca="1" si="0"/>
        <v>A</v>
      </c>
      <c r="J14" s="15" t="str">
        <f t="shared" ca="1" si="1"/>
        <v>Rare</v>
      </c>
      <c r="K14" s="15" t="str">
        <f ca="1">$D$15</f>
        <v>AB</v>
      </c>
      <c r="L14" s="15" t="str">
        <f ca="1">$E$15</f>
        <v>Frequent</v>
      </c>
      <c r="M14" s="13">
        <f t="shared" ca="1" si="3"/>
        <v>1</v>
      </c>
      <c r="N14" s="3">
        <f t="shared" ca="1" si="4"/>
        <v>1</v>
      </c>
      <c r="O14">
        <f t="shared" ca="1" si="5"/>
        <v>1</v>
      </c>
      <c r="P14" s="11"/>
      <c r="R14" s="18"/>
    </row>
    <row r="15" spans="1:19" x14ac:dyDescent="0.25">
      <c r="A15" s="15" t="s">
        <v>54</v>
      </c>
      <c r="B15" s="6" t="str">
        <f ca="1">'CrystalBall Pair Generation'!B18</f>
        <v>O</v>
      </c>
      <c r="C15" s="6" t="str">
        <f ca="1">'CrystalBall Pair Generation'!D18</f>
        <v>Rare</v>
      </c>
      <c r="D15" s="8" t="str">
        <f ca="1">'CrystalBall Pair Generation'!G18</f>
        <v>AB</v>
      </c>
      <c r="E15" s="8" t="str">
        <f ca="1">'CrystalBall Pair Generation'!I18</f>
        <v>Frequent</v>
      </c>
      <c r="G15" t="str">
        <f t="shared" si="2"/>
        <v>D1-R1</v>
      </c>
      <c r="H15" t="str">
        <f>$A$16</f>
        <v>D12-R12</v>
      </c>
      <c r="I15" s="13" t="str">
        <f t="shared" ca="1" si="0"/>
        <v>A</v>
      </c>
      <c r="J15" s="15" t="str">
        <f t="shared" ca="1" si="1"/>
        <v>Rare</v>
      </c>
      <c r="K15" s="15" t="str">
        <f ca="1">$D$16</f>
        <v>B</v>
      </c>
      <c r="L15" s="15" t="str">
        <f ca="1">$E$16</f>
        <v>Rare</v>
      </c>
      <c r="M15" s="13">
        <f t="shared" ca="1" si="3"/>
        <v>0</v>
      </c>
      <c r="N15" s="3">
        <f t="shared" ca="1" si="4"/>
        <v>1</v>
      </c>
      <c r="O15">
        <f t="shared" ca="1" si="5"/>
        <v>0</v>
      </c>
      <c r="P15" s="11"/>
      <c r="R15" s="18"/>
    </row>
    <row r="16" spans="1:19" x14ac:dyDescent="0.25">
      <c r="A16" s="15" t="s">
        <v>55</v>
      </c>
      <c r="B16" s="6" t="str">
        <f ca="1">'CrystalBall Pair Generation'!B19</f>
        <v>O</v>
      </c>
      <c r="C16" s="6" t="str">
        <f ca="1">'CrystalBall Pair Generation'!D19</f>
        <v>Rare</v>
      </c>
      <c r="D16" s="8" t="str">
        <f ca="1">'CrystalBall Pair Generation'!G19</f>
        <v>B</v>
      </c>
      <c r="E16" s="8" t="str">
        <f ca="1">'CrystalBall Pair Generation'!I19</f>
        <v>Rare</v>
      </c>
      <c r="G16" t="str">
        <f t="shared" si="2"/>
        <v>D1-R1</v>
      </c>
      <c r="H16" t="str">
        <f>$A$17</f>
        <v>D13-R13</v>
      </c>
      <c r="I16" s="13" t="str">
        <f t="shared" ca="1" si="0"/>
        <v>A</v>
      </c>
      <c r="J16" s="15" t="str">
        <f t="shared" ca="1" si="1"/>
        <v>Rare</v>
      </c>
      <c r="K16" s="15" t="str">
        <f ca="1">$D$17</f>
        <v>AB</v>
      </c>
      <c r="L16" s="15" t="str">
        <f ca="1">$E$17</f>
        <v>Frequent</v>
      </c>
      <c r="M16" s="13">
        <f t="shared" ca="1" si="3"/>
        <v>1</v>
      </c>
      <c r="N16" s="3">
        <f t="shared" ca="1" si="4"/>
        <v>1</v>
      </c>
      <c r="O16">
        <f t="shared" ca="1" si="5"/>
        <v>1</v>
      </c>
      <c r="P16" s="11"/>
      <c r="R16" s="18"/>
    </row>
    <row r="17" spans="1:18" x14ac:dyDescent="0.25">
      <c r="A17" s="15" t="s">
        <v>56</v>
      </c>
      <c r="B17" s="6" t="str">
        <f ca="1">'CrystalBall Pair Generation'!B20</f>
        <v>AB</v>
      </c>
      <c r="C17" s="6" t="str">
        <f ca="1">'CrystalBall Pair Generation'!D20</f>
        <v>Frequent</v>
      </c>
      <c r="D17" s="8" t="str">
        <f ca="1">'CrystalBall Pair Generation'!G20</f>
        <v>AB</v>
      </c>
      <c r="E17" s="8" t="str">
        <f ca="1">'CrystalBall Pair Generation'!I20</f>
        <v>Frequent</v>
      </c>
      <c r="G17" t="str">
        <f t="shared" si="2"/>
        <v>D1-R1</v>
      </c>
      <c r="H17" t="str">
        <f>$A$18</f>
        <v>D14-R14</v>
      </c>
      <c r="I17" s="13" t="str">
        <f t="shared" ca="1" si="0"/>
        <v>A</v>
      </c>
      <c r="J17" s="15" t="str">
        <f t="shared" ca="1" si="1"/>
        <v>Rare</v>
      </c>
      <c r="K17" s="15" t="str">
        <f ca="1">$D$18</f>
        <v>B</v>
      </c>
      <c r="L17" s="15" t="str">
        <f ca="1">$E$18</f>
        <v>Frequent</v>
      </c>
      <c r="M17" s="13">
        <f t="shared" ca="1" si="3"/>
        <v>0</v>
      </c>
      <c r="N17" s="3">
        <f t="shared" ca="1" si="4"/>
        <v>1</v>
      </c>
      <c r="O17">
        <f t="shared" ca="1" si="5"/>
        <v>0</v>
      </c>
      <c r="P17" s="11"/>
      <c r="R17" s="18"/>
    </row>
    <row r="18" spans="1:18" x14ac:dyDescent="0.25">
      <c r="A18" s="15" t="s">
        <v>58</v>
      </c>
      <c r="B18" s="6" t="str">
        <f ca="1">'CrystalBall Pair Generation'!B21</f>
        <v>B</v>
      </c>
      <c r="C18" s="6" t="str">
        <f ca="1">'CrystalBall Pair Generation'!D21</f>
        <v>Rare</v>
      </c>
      <c r="D18" s="8" t="str">
        <f ca="1">'CrystalBall Pair Generation'!G21</f>
        <v>B</v>
      </c>
      <c r="E18" s="8" t="str">
        <f ca="1">'CrystalBall Pair Generation'!I21</f>
        <v>Frequent</v>
      </c>
      <c r="G18" t="str">
        <f t="shared" si="2"/>
        <v>D1-R1</v>
      </c>
      <c r="H18" t="str">
        <f>$A$19</f>
        <v>D15-R15</v>
      </c>
      <c r="I18" s="13" t="str">
        <f t="shared" ca="1" si="0"/>
        <v>A</v>
      </c>
      <c r="J18" s="15" t="str">
        <f t="shared" ca="1" si="1"/>
        <v>Rare</v>
      </c>
      <c r="K18" s="15" t="str">
        <f ca="1">$D$19</f>
        <v>B</v>
      </c>
      <c r="L18" s="15" t="str">
        <f ca="1">$E$19</f>
        <v>Frequent</v>
      </c>
      <c r="M18" s="13">
        <f t="shared" ca="1" si="3"/>
        <v>0</v>
      </c>
      <c r="N18" s="3">
        <f t="shared" ca="1" si="4"/>
        <v>1</v>
      </c>
      <c r="O18">
        <f t="shared" ca="1" si="5"/>
        <v>0</v>
      </c>
      <c r="P18" s="11"/>
      <c r="R18" s="18"/>
    </row>
    <row r="19" spans="1:18" x14ac:dyDescent="0.25">
      <c r="A19" s="15" t="s">
        <v>57</v>
      </c>
      <c r="B19" s="6" t="str">
        <f ca="1">'CrystalBall Pair Generation'!B22</f>
        <v>A</v>
      </c>
      <c r="C19" s="6" t="str">
        <f ca="1">'CrystalBall Pair Generation'!D22</f>
        <v>Frequent</v>
      </c>
      <c r="D19" s="8" t="str">
        <f ca="1">'CrystalBall Pair Generation'!G22</f>
        <v>B</v>
      </c>
      <c r="E19" s="8" t="str">
        <f ca="1">'CrystalBall Pair Generation'!I22</f>
        <v>Frequent</v>
      </c>
      <c r="G19" t="str">
        <f t="shared" si="2"/>
        <v>D1-R1</v>
      </c>
      <c r="H19" t="str">
        <f>$A$20</f>
        <v>D16-R16</v>
      </c>
      <c r="I19" s="13" t="str">
        <f t="shared" ca="1" si="0"/>
        <v>A</v>
      </c>
      <c r="J19" s="15" t="str">
        <f t="shared" ca="1" si="1"/>
        <v>Rare</v>
      </c>
      <c r="K19" s="15" t="str">
        <f ca="1">$D$20</f>
        <v>B</v>
      </c>
      <c r="L19" s="15" t="str">
        <f ca="1">$E$20</f>
        <v>Frequent</v>
      </c>
      <c r="M19" s="13">
        <f t="shared" ca="1" si="3"/>
        <v>0</v>
      </c>
      <c r="N19" s="3">
        <f t="shared" ca="1" si="4"/>
        <v>1</v>
      </c>
      <c r="O19">
        <f t="shared" ca="1" si="5"/>
        <v>0</v>
      </c>
      <c r="P19" s="11"/>
      <c r="R19" s="18"/>
    </row>
    <row r="20" spans="1:18" x14ac:dyDescent="0.25">
      <c r="A20" s="15" t="s">
        <v>59</v>
      </c>
      <c r="B20" s="6" t="str">
        <f ca="1">'CrystalBall Pair Generation'!B23</f>
        <v>A</v>
      </c>
      <c r="C20" s="6" t="str">
        <f ca="1">'CrystalBall Pair Generation'!D23</f>
        <v>Frequent</v>
      </c>
      <c r="D20" s="8" t="str">
        <f ca="1">'CrystalBall Pair Generation'!G23</f>
        <v>B</v>
      </c>
      <c r="E20" s="8" t="str">
        <f ca="1">'CrystalBall Pair Generation'!I23</f>
        <v>Frequent</v>
      </c>
      <c r="G20" t="str">
        <f t="shared" si="2"/>
        <v>D1-R1</v>
      </c>
      <c r="H20" t="str">
        <f>$A$21</f>
        <v>D17-R17</v>
      </c>
      <c r="I20" s="13" t="str">
        <f t="shared" ca="1" si="0"/>
        <v>A</v>
      </c>
      <c r="J20" s="11" t="str">
        <f t="shared" ca="1" si="1"/>
        <v>Rare</v>
      </c>
      <c r="K20" s="11" t="str">
        <f ca="1">$D$21</f>
        <v>B</v>
      </c>
      <c r="L20" s="11" t="str">
        <f ca="1">$E$21</f>
        <v>Rare</v>
      </c>
      <c r="M20" s="13">
        <f t="shared" ca="1" si="3"/>
        <v>0</v>
      </c>
      <c r="N20" s="3">
        <f t="shared" ca="1" si="4"/>
        <v>1</v>
      </c>
      <c r="O20">
        <f t="shared" ca="1" si="5"/>
        <v>0</v>
      </c>
      <c r="P20" s="11"/>
      <c r="R20" s="18"/>
    </row>
    <row r="21" spans="1:18" x14ac:dyDescent="0.25">
      <c r="A21" s="15" t="s">
        <v>60</v>
      </c>
      <c r="B21" s="6" t="str">
        <f ca="1">'CrystalBall Pair Generation'!B24</f>
        <v>O</v>
      </c>
      <c r="C21" s="6" t="str">
        <f ca="1">'CrystalBall Pair Generation'!D24</f>
        <v>Rare</v>
      </c>
      <c r="D21" s="8" t="str">
        <f ca="1">'CrystalBall Pair Generation'!G24</f>
        <v>B</v>
      </c>
      <c r="E21" s="8" t="str">
        <f ca="1">'CrystalBall Pair Generation'!I24</f>
        <v>Rare</v>
      </c>
      <c r="G21" t="str">
        <f t="shared" si="2"/>
        <v>D1-R1</v>
      </c>
      <c r="H21" t="str">
        <f>$A$22</f>
        <v>D18-R18</v>
      </c>
      <c r="I21" s="13" t="str">
        <f t="shared" ca="1" si="0"/>
        <v>A</v>
      </c>
      <c r="J21" s="11" t="str">
        <f t="shared" ca="1" si="1"/>
        <v>Rare</v>
      </c>
      <c r="K21" s="11" t="str">
        <f ca="1">$D$22</f>
        <v>A</v>
      </c>
      <c r="L21" s="11" t="str">
        <f ca="1">$E$22</f>
        <v>Rare</v>
      </c>
      <c r="M21" s="13">
        <f t="shared" ca="1" si="3"/>
        <v>1</v>
      </c>
      <c r="N21" s="3">
        <f t="shared" ca="1" si="4"/>
        <v>1</v>
      </c>
      <c r="O21">
        <f t="shared" ca="1" si="5"/>
        <v>1</v>
      </c>
      <c r="P21" s="11"/>
      <c r="R21" s="18"/>
    </row>
    <row r="22" spans="1:18" x14ac:dyDescent="0.25">
      <c r="A22" s="15" t="s">
        <v>61</v>
      </c>
      <c r="B22" s="6" t="str">
        <f ca="1">'CrystalBall Pair Generation'!B25</f>
        <v>AB</v>
      </c>
      <c r="C22" s="6" t="str">
        <f ca="1">'CrystalBall Pair Generation'!D25</f>
        <v>Rare</v>
      </c>
      <c r="D22" s="8" t="str">
        <f ca="1">'CrystalBall Pair Generation'!G25</f>
        <v>A</v>
      </c>
      <c r="E22" s="8" t="str">
        <f ca="1">'CrystalBall Pair Generation'!I25</f>
        <v>Rare</v>
      </c>
      <c r="G22" t="str">
        <f t="shared" si="2"/>
        <v>D1-R1</v>
      </c>
      <c r="H22" t="str">
        <f>$A$23</f>
        <v>D19-R19</v>
      </c>
      <c r="I22" s="13" t="str">
        <f t="shared" ca="1" si="0"/>
        <v>A</v>
      </c>
      <c r="J22" s="11" t="str">
        <f t="shared" ca="1" si="1"/>
        <v>Rare</v>
      </c>
      <c r="K22" s="11" t="str">
        <f ca="1">$D$23</f>
        <v>B</v>
      </c>
      <c r="L22" s="11" t="str">
        <f ca="1">$E$23</f>
        <v>Rare</v>
      </c>
      <c r="M22" s="13">
        <f t="shared" ca="1" si="3"/>
        <v>0</v>
      </c>
      <c r="N22" s="3">
        <f t="shared" ca="1" si="4"/>
        <v>1</v>
      </c>
      <c r="O22">
        <f t="shared" ca="1" si="5"/>
        <v>0</v>
      </c>
      <c r="P22" s="11"/>
      <c r="R22" s="18"/>
    </row>
    <row r="23" spans="1:18" x14ac:dyDescent="0.25">
      <c r="A23" s="15" t="s">
        <v>62</v>
      </c>
      <c r="B23" s="6" t="str">
        <f ca="1">'CrystalBall Pair Generation'!B26</f>
        <v>B</v>
      </c>
      <c r="C23" s="6" t="str">
        <f ca="1">'CrystalBall Pair Generation'!D26</f>
        <v>Rare</v>
      </c>
      <c r="D23" s="8" t="str">
        <f ca="1">'CrystalBall Pair Generation'!G26</f>
        <v>B</v>
      </c>
      <c r="E23" s="8" t="str">
        <f ca="1">'CrystalBall Pair Generation'!I26</f>
        <v>Rare</v>
      </c>
      <c r="G23" t="str">
        <f t="shared" si="2"/>
        <v>D1-R1</v>
      </c>
      <c r="H23" t="str">
        <f>$A$24</f>
        <v>D20-R20</v>
      </c>
      <c r="I23" s="13" t="str">
        <f t="shared" ca="1" si="0"/>
        <v>A</v>
      </c>
      <c r="J23" s="11" t="str">
        <f t="shared" ca="1" si="1"/>
        <v>Rare</v>
      </c>
      <c r="K23" s="11" t="str">
        <f ca="1">$D$24</f>
        <v>AB</v>
      </c>
      <c r="L23" s="11" t="str">
        <f ca="1">$E$24</f>
        <v>Rare</v>
      </c>
      <c r="M23" s="13">
        <f t="shared" ca="1" si="3"/>
        <v>1</v>
      </c>
      <c r="N23" s="3">
        <f t="shared" ca="1" si="4"/>
        <v>1</v>
      </c>
      <c r="O23">
        <f t="shared" ca="1" si="5"/>
        <v>1</v>
      </c>
      <c r="P23" s="11"/>
      <c r="R23" s="18"/>
    </row>
    <row r="24" spans="1:18" x14ac:dyDescent="0.25">
      <c r="A24" s="15" t="s">
        <v>63</v>
      </c>
      <c r="B24" s="6" t="str">
        <f ca="1">'CrystalBall Pair Generation'!B27</f>
        <v>B</v>
      </c>
      <c r="C24" s="6" t="str">
        <f ca="1">'CrystalBall Pair Generation'!D27</f>
        <v>Rare</v>
      </c>
      <c r="D24" s="8" t="str">
        <f ca="1">'CrystalBall Pair Generation'!G27</f>
        <v>AB</v>
      </c>
      <c r="E24" s="8" t="str">
        <f ca="1">'CrystalBall Pair Generation'!I27</f>
        <v>Rare</v>
      </c>
      <c r="G24" t="str">
        <f>$A$6</f>
        <v>D2-R2</v>
      </c>
      <c r="H24" t="str">
        <f>$A$5</f>
        <v>D1-R1</v>
      </c>
      <c r="I24" s="13" t="str">
        <f ca="1">$B$6</f>
        <v>AB</v>
      </c>
      <c r="J24" s="11" t="str">
        <f ca="1">$C$6</f>
        <v>Rare</v>
      </c>
      <c r="K24" s="16" t="str">
        <f ca="1">$D$5</f>
        <v>O</v>
      </c>
      <c r="L24" s="13" t="str">
        <f ca="1">$E$5</f>
        <v>Rare</v>
      </c>
      <c r="M24" s="13">
        <f t="shared" ca="1" si="3"/>
        <v>0</v>
      </c>
      <c r="N24" s="3">
        <f t="shared" ca="1" si="4"/>
        <v>1</v>
      </c>
      <c r="O24">
        <f t="shared" ca="1" si="5"/>
        <v>0</v>
      </c>
      <c r="P24" s="11"/>
      <c r="R24" s="18"/>
    </row>
    <row r="25" spans="1:18" x14ac:dyDescent="0.25">
      <c r="A25" s="11" t="s">
        <v>47</v>
      </c>
      <c r="G25" t="str">
        <f t="shared" ref="G25:G42" si="6">$A$6</f>
        <v>D2-R2</v>
      </c>
      <c r="H25" t="str">
        <f>$A$7</f>
        <v>D3-R3</v>
      </c>
      <c r="I25" s="13" t="str">
        <f t="shared" ref="I25:I42" ca="1" si="7">$B$6</f>
        <v>AB</v>
      </c>
      <c r="J25" s="11" t="str">
        <f t="shared" ref="J25:J42" ca="1" si="8">$C$6</f>
        <v>Rare</v>
      </c>
      <c r="K25" s="12" t="str">
        <f ca="1">$D$7</f>
        <v>B</v>
      </c>
      <c r="L25" s="11" t="str">
        <f ca="1">$E$7</f>
        <v>Frequent</v>
      </c>
      <c r="M25" s="13">
        <f t="shared" ca="1" si="3"/>
        <v>0</v>
      </c>
      <c r="N25" s="3">
        <f t="shared" ca="1" si="4"/>
        <v>1</v>
      </c>
      <c r="O25">
        <f t="shared" ca="1" si="5"/>
        <v>0</v>
      </c>
      <c r="P25" s="11"/>
      <c r="R25" s="18"/>
    </row>
    <row r="26" spans="1:18" x14ac:dyDescent="0.25">
      <c r="G26" t="str">
        <f t="shared" si="6"/>
        <v>D2-R2</v>
      </c>
      <c r="H26" t="str">
        <f>$A$8</f>
        <v>D4-R4</v>
      </c>
      <c r="I26" s="13" t="str">
        <f t="shared" ca="1" si="7"/>
        <v>AB</v>
      </c>
      <c r="J26" s="11" t="str">
        <f t="shared" ca="1" si="8"/>
        <v>Rare</v>
      </c>
      <c r="K26" s="17" t="str">
        <f ca="1">$D$8</f>
        <v>A</v>
      </c>
      <c r="L26" s="15" t="str">
        <f ca="1">$E$8</f>
        <v>Frequent</v>
      </c>
      <c r="M26" s="13">
        <f t="shared" ca="1" si="3"/>
        <v>0</v>
      </c>
      <c r="N26" s="3">
        <f t="shared" ca="1" si="4"/>
        <v>1</v>
      </c>
      <c r="O26">
        <f t="shared" ca="1" si="5"/>
        <v>0</v>
      </c>
      <c r="P26" s="11" t="s">
        <v>47</v>
      </c>
      <c r="R26" s="1"/>
    </row>
    <row r="27" spans="1:18" x14ac:dyDescent="0.25">
      <c r="G27" t="str">
        <f t="shared" si="6"/>
        <v>D2-R2</v>
      </c>
      <c r="H27" t="str">
        <f>$A$9</f>
        <v>D5-R5</v>
      </c>
      <c r="I27" s="13" t="str">
        <f t="shared" ca="1" si="7"/>
        <v>AB</v>
      </c>
      <c r="J27" s="11" t="str">
        <f t="shared" ca="1" si="8"/>
        <v>Rare</v>
      </c>
      <c r="K27" s="17" t="str">
        <f ca="1">$D$9</f>
        <v>AB</v>
      </c>
      <c r="L27" s="15" t="str">
        <f ca="1">$E$9</f>
        <v>Rare</v>
      </c>
      <c r="M27" s="13">
        <f t="shared" ca="1" si="3"/>
        <v>1</v>
      </c>
      <c r="N27" s="3">
        <f t="shared" ca="1" si="4"/>
        <v>1</v>
      </c>
      <c r="O27">
        <f t="shared" ca="1" si="5"/>
        <v>1</v>
      </c>
      <c r="R27" s="1"/>
    </row>
    <row r="28" spans="1:18" x14ac:dyDescent="0.25">
      <c r="G28" t="str">
        <f t="shared" si="6"/>
        <v>D2-R2</v>
      </c>
      <c r="H28" t="str">
        <f>$A$10</f>
        <v>D6-R6</v>
      </c>
      <c r="I28" s="13" t="str">
        <f t="shared" ca="1" si="7"/>
        <v>AB</v>
      </c>
      <c r="J28" s="11" t="str">
        <f t="shared" ca="1" si="8"/>
        <v>Rare</v>
      </c>
      <c r="K28" s="17" t="str">
        <f ca="1">$D$10</f>
        <v>AB</v>
      </c>
      <c r="L28" s="15" t="str">
        <f ca="1">$E$10</f>
        <v>Frequent</v>
      </c>
      <c r="M28" s="13">
        <f t="shared" ca="1" si="3"/>
        <v>1</v>
      </c>
      <c r="N28" s="3">
        <f t="shared" ca="1" si="4"/>
        <v>1</v>
      </c>
      <c r="O28">
        <f t="shared" ca="1" si="5"/>
        <v>1</v>
      </c>
      <c r="R28" s="1"/>
    </row>
    <row r="29" spans="1:18" x14ac:dyDescent="0.25">
      <c r="G29" t="str">
        <f t="shared" si="6"/>
        <v>D2-R2</v>
      </c>
      <c r="H29" t="str">
        <f>$A$11</f>
        <v>D7-R7</v>
      </c>
      <c r="I29" s="13" t="str">
        <f t="shared" ca="1" si="7"/>
        <v>AB</v>
      </c>
      <c r="J29" s="11" t="str">
        <f t="shared" ca="1" si="8"/>
        <v>Rare</v>
      </c>
      <c r="K29" s="17" t="str">
        <f ca="1">$D$11</f>
        <v>O</v>
      </c>
      <c r="L29" s="15" t="str">
        <f ca="1">$E$11</f>
        <v>Frequent</v>
      </c>
      <c r="M29" s="13">
        <f t="shared" ca="1" si="3"/>
        <v>0</v>
      </c>
      <c r="N29" s="3">
        <f t="shared" ca="1" si="4"/>
        <v>1</v>
      </c>
      <c r="O29">
        <f t="shared" ca="1" si="5"/>
        <v>0</v>
      </c>
      <c r="R29" s="1"/>
    </row>
    <row r="30" spans="1:18" x14ac:dyDescent="0.25">
      <c r="G30" t="str">
        <f t="shared" si="6"/>
        <v>D2-R2</v>
      </c>
      <c r="H30" t="str">
        <f>$A$12</f>
        <v>D8-R8</v>
      </c>
      <c r="I30" s="13" t="str">
        <f t="shared" ca="1" si="7"/>
        <v>AB</v>
      </c>
      <c r="J30" s="11" t="str">
        <f t="shared" ca="1" si="8"/>
        <v>Rare</v>
      </c>
      <c r="K30" s="17" t="str">
        <f ca="1">$D$12</f>
        <v>B</v>
      </c>
      <c r="L30" s="15" t="str">
        <f ca="1">$E$12</f>
        <v>Rare</v>
      </c>
      <c r="M30" s="13">
        <f t="shared" ca="1" si="3"/>
        <v>0</v>
      </c>
      <c r="N30" s="3">
        <f t="shared" ca="1" si="4"/>
        <v>1</v>
      </c>
      <c r="O30">
        <f t="shared" ca="1" si="5"/>
        <v>0</v>
      </c>
      <c r="R30" s="1"/>
    </row>
    <row r="31" spans="1:18" x14ac:dyDescent="0.25">
      <c r="G31" t="str">
        <f t="shared" si="6"/>
        <v>D2-R2</v>
      </c>
      <c r="H31" t="str">
        <f>$A$13</f>
        <v>D9-R9</v>
      </c>
      <c r="I31" s="13" t="str">
        <f t="shared" ca="1" si="7"/>
        <v>AB</v>
      </c>
      <c r="J31" s="11" t="str">
        <f t="shared" ca="1" si="8"/>
        <v>Rare</v>
      </c>
      <c r="K31" s="17" t="str">
        <f ca="1">$D$13</f>
        <v>A</v>
      </c>
      <c r="L31" s="15" t="str">
        <f ca="1">$E$13</f>
        <v>Frequent</v>
      </c>
      <c r="M31" s="13">
        <f t="shared" ca="1" si="3"/>
        <v>0</v>
      </c>
      <c r="N31" s="3">
        <f t="shared" ca="1" si="4"/>
        <v>1</v>
      </c>
      <c r="O31">
        <f t="shared" ca="1" si="5"/>
        <v>0</v>
      </c>
      <c r="R31" s="1"/>
    </row>
    <row r="32" spans="1:18" x14ac:dyDescent="0.25">
      <c r="G32" t="str">
        <f t="shared" si="6"/>
        <v>D2-R2</v>
      </c>
      <c r="H32" t="str">
        <f>$A$14</f>
        <v>D10-R10</v>
      </c>
      <c r="I32" s="13" t="str">
        <f t="shared" ca="1" si="7"/>
        <v>AB</v>
      </c>
      <c r="J32" s="11" t="str">
        <f t="shared" ca="1" si="8"/>
        <v>Rare</v>
      </c>
      <c r="K32" s="12" t="str">
        <f ca="1">$D$14</f>
        <v>A</v>
      </c>
      <c r="L32" s="11" t="str">
        <f ca="1">$E$14</f>
        <v>Frequent</v>
      </c>
      <c r="M32" s="13">
        <f t="shared" ca="1" si="3"/>
        <v>0</v>
      </c>
      <c r="N32" s="3">
        <f t="shared" ca="1" si="4"/>
        <v>1</v>
      </c>
      <c r="O32">
        <f t="shared" ca="1" si="5"/>
        <v>0</v>
      </c>
      <c r="R32" s="1"/>
    </row>
    <row r="33" spans="7:18" x14ac:dyDescent="0.25">
      <c r="G33" t="str">
        <f t="shared" si="6"/>
        <v>D2-R2</v>
      </c>
      <c r="H33" t="str">
        <f>$A$15</f>
        <v>D11-R11</v>
      </c>
      <c r="I33" s="13" t="str">
        <f t="shared" ca="1" si="7"/>
        <v>AB</v>
      </c>
      <c r="J33" s="11" t="str">
        <f t="shared" ca="1" si="8"/>
        <v>Rare</v>
      </c>
      <c r="K33" s="17" t="str">
        <f ca="1">$D$15</f>
        <v>AB</v>
      </c>
      <c r="L33" s="15" t="str">
        <f ca="1">$E$15</f>
        <v>Frequent</v>
      </c>
      <c r="M33" s="13">
        <f t="shared" ca="1" si="3"/>
        <v>1</v>
      </c>
      <c r="N33" s="3">
        <f t="shared" ca="1" si="4"/>
        <v>1</v>
      </c>
      <c r="O33">
        <f t="shared" ca="1" si="5"/>
        <v>1</v>
      </c>
      <c r="R33" s="1"/>
    </row>
    <row r="34" spans="7:18" x14ac:dyDescent="0.25">
      <c r="G34" t="str">
        <f t="shared" si="6"/>
        <v>D2-R2</v>
      </c>
      <c r="H34" t="str">
        <f>$A$16</f>
        <v>D12-R12</v>
      </c>
      <c r="I34" s="13" t="str">
        <f t="shared" ca="1" si="7"/>
        <v>AB</v>
      </c>
      <c r="J34" s="11" t="str">
        <f t="shared" ca="1" si="8"/>
        <v>Rare</v>
      </c>
      <c r="K34" s="17" t="str">
        <f ca="1">$D$16</f>
        <v>B</v>
      </c>
      <c r="L34" s="15" t="str">
        <f ca="1">$E$16</f>
        <v>Rare</v>
      </c>
      <c r="M34" s="13">
        <f t="shared" ca="1" si="3"/>
        <v>0</v>
      </c>
      <c r="N34" s="3">
        <f t="shared" ca="1" si="4"/>
        <v>1</v>
      </c>
      <c r="O34">
        <f t="shared" ca="1" si="5"/>
        <v>0</v>
      </c>
      <c r="R34" s="1"/>
    </row>
    <row r="35" spans="7:18" x14ac:dyDescent="0.25">
      <c r="G35" t="str">
        <f t="shared" si="6"/>
        <v>D2-R2</v>
      </c>
      <c r="H35" t="str">
        <f>$A$17</f>
        <v>D13-R13</v>
      </c>
      <c r="I35" s="13" t="str">
        <f t="shared" ca="1" si="7"/>
        <v>AB</v>
      </c>
      <c r="J35" s="11" t="str">
        <f t="shared" ca="1" si="8"/>
        <v>Rare</v>
      </c>
      <c r="K35" s="17" t="str">
        <f ca="1">$D$17</f>
        <v>AB</v>
      </c>
      <c r="L35" s="15" t="str">
        <f ca="1">$E$17</f>
        <v>Frequent</v>
      </c>
      <c r="M35" s="13">
        <f t="shared" ca="1" si="3"/>
        <v>1</v>
      </c>
      <c r="N35" s="3">
        <f t="shared" ca="1" si="4"/>
        <v>1</v>
      </c>
      <c r="O35">
        <f t="shared" ca="1" si="5"/>
        <v>1</v>
      </c>
      <c r="R35" s="1"/>
    </row>
    <row r="36" spans="7:18" x14ac:dyDescent="0.25">
      <c r="G36" t="str">
        <f t="shared" si="6"/>
        <v>D2-R2</v>
      </c>
      <c r="H36" t="str">
        <f>$A$18</f>
        <v>D14-R14</v>
      </c>
      <c r="I36" s="13" t="str">
        <f t="shared" ca="1" si="7"/>
        <v>AB</v>
      </c>
      <c r="J36" s="11" t="str">
        <f t="shared" ca="1" si="8"/>
        <v>Rare</v>
      </c>
      <c r="K36" s="17" t="str">
        <f ca="1">$D$18</f>
        <v>B</v>
      </c>
      <c r="L36" s="15" t="str">
        <f ca="1">$E$18</f>
        <v>Frequent</v>
      </c>
      <c r="M36" s="13">
        <f t="shared" ca="1" si="3"/>
        <v>0</v>
      </c>
      <c r="N36" s="3">
        <f t="shared" ca="1" si="4"/>
        <v>1</v>
      </c>
      <c r="O36">
        <f t="shared" ca="1" si="5"/>
        <v>0</v>
      </c>
      <c r="R36" s="1"/>
    </row>
    <row r="37" spans="7:18" x14ac:dyDescent="0.25">
      <c r="G37" t="str">
        <f t="shared" si="6"/>
        <v>D2-R2</v>
      </c>
      <c r="H37" t="str">
        <f>$A$19</f>
        <v>D15-R15</v>
      </c>
      <c r="I37" s="13" t="str">
        <f t="shared" ca="1" si="7"/>
        <v>AB</v>
      </c>
      <c r="J37" s="11" t="str">
        <f t="shared" ca="1" si="8"/>
        <v>Rare</v>
      </c>
      <c r="K37" s="17" t="str">
        <f ca="1">$D$19</f>
        <v>B</v>
      </c>
      <c r="L37" s="15" t="str">
        <f ca="1">$E$19</f>
        <v>Frequent</v>
      </c>
      <c r="M37" s="13">
        <f t="shared" ca="1" si="3"/>
        <v>0</v>
      </c>
      <c r="N37" s="3">
        <f t="shared" ca="1" si="4"/>
        <v>1</v>
      </c>
      <c r="O37">
        <f t="shared" ca="1" si="5"/>
        <v>0</v>
      </c>
      <c r="R37" s="1"/>
    </row>
    <row r="38" spans="7:18" x14ac:dyDescent="0.25">
      <c r="G38" t="str">
        <f t="shared" si="6"/>
        <v>D2-R2</v>
      </c>
      <c r="H38" t="str">
        <f>$A$20</f>
        <v>D16-R16</v>
      </c>
      <c r="I38" s="13" t="str">
        <f t="shared" ca="1" si="7"/>
        <v>AB</v>
      </c>
      <c r="J38" s="11" t="str">
        <f t="shared" ca="1" si="8"/>
        <v>Rare</v>
      </c>
      <c r="K38" s="17" t="str">
        <f ca="1">$D$20</f>
        <v>B</v>
      </c>
      <c r="L38" s="15" t="str">
        <f ca="1">$E$20</f>
        <v>Frequent</v>
      </c>
      <c r="M38" s="13">
        <f t="shared" ca="1" si="3"/>
        <v>0</v>
      </c>
      <c r="N38" s="3">
        <f t="shared" ca="1" si="4"/>
        <v>1</v>
      </c>
      <c r="O38">
        <f t="shared" ca="1" si="5"/>
        <v>0</v>
      </c>
      <c r="R38" s="1"/>
    </row>
    <row r="39" spans="7:18" x14ac:dyDescent="0.25">
      <c r="G39" t="str">
        <f t="shared" si="6"/>
        <v>D2-R2</v>
      </c>
      <c r="H39" t="str">
        <f>$A$21</f>
        <v>D17-R17</v>
      </c>
      <c r="I39" s="13" t="str">
        <f t="shared" ca="1" si="7"/>
        <v>AB</v>
      </c>
      <c r="J39" s="11" t="str">
        <f t="shared" ca="1" si="8"/>
        <v>Rare</v>
      </c>
      <c r="K39" s="12" t="str">
        <f ca="1">$D$21</f>
        <v>B</v>
      </c>
      <c r="L39" s="11" t="str">
        <f ca="1">$E$21</f>
        <v>Rare</v>
      </c>
      <c r="M39" s="13">
        <f t="shared" ca="1" si="3"/>
        <v>0</v>
      </c>
      <c r="N39" s="3">
        <f t="shared" ca="1" si="4"/>
        <v>1</v>
      </c>
      <c r="O39">
        <f t="shared" ca="1" si="5"/>
        <v>0</v>
      </c>
      <c r="R39" s="1"/>
    </row>
    <row r="40" spans="7:18" x14ac:dyDescent="0.25">
      <c r="G40" t="str">
        <f t="shared" si="6"/>
        <v>D2-R2</v>
      </c>
      <c r="H40" t="str">
        <f>$A$22</f>
        <v>D18-R18</v>
      </c>
      <c r="I40" s="13" t="str">
        <f t="shared" ca="1" si="7"/>
        <v>AB</v>
      </c>
      <c r="J40" s="11" t="str">
        <f t="shared" ca="1" si="8"/>
        <v>Rare</v>
      </c>
      <c r="K40" s="12" t="str">
        <f ca="1">$D$22</f>
        <v>A</v>
      </c>
      <c r="L40" s="11" t="str">
        <f ca="1">$E$22</f>
        <v>Rare</v>
      </c>
      <c r="M40" s="13">
        <f t="shared" ca="1" si="3"/>
        <v>0</v>
      </c>
      <c r="N40" s="3">
        <f t="shared" ca="1" si="4"/>
        <v>1</v>
      </c>
      <c r="O40">
        <f t="shared" ca="1" si="5"/>
        <v>0</v>
      </c>
      <c r="R40" s="1"/>
    </row>
    <row r="41" spans="7:18" x14ac:dyDescent="0.25">
      <c r="G41" t="str">
        <f t="shared" si="6"/>
        <v>D2-R2</v>
      </c>
      <c r="H41" t="str">
        <f>$A$23</f>
        <v>D19-R19</v>
      </c>
      <c r="I41" s="13" t="str">
        <f t="shared" ca="1" si="7"/>
        <v>AB</v>
      </c>
      <c r="J41" s="11" t="str">
        <f t="shared" ca="1" si="8"/>
        <v>Rare</v>
      </c>
      <c r="K41" s="12" t="str">
        <f ca="1">$D$23</f>
        <v>B</v>
      </c>
      <c r="L41" s="11" t="str">
        <f ca="1">$E$23</f>
        <v>Rare</v>
      </c>
      <c r="M41" s="13">
        <f t="shared" ca="1" si="3"/>
        <v>0</v>
      </c>
      <c r="N41" s="3">
        <f t="shared" ca="1" si="4"/>
        <v>1</v>
      </c>
      <c r="O41">
        <f t="shared" ca="1" si="5"/>
        <v>0</v>
      </c>
      <c r="R41" s="1"/>
    </row>
    <row r="42" spans="7:18" x14ac:dyDescent="0.25">
      <c r="G42" t="str">
        <f t="shared" si="6"/>
        <v>D2-R2</v>
      </c>
      <c r="H42" t="str">
        <f>$A$24</f>
        <v>D20-R20</v>
      </c>
      <c r="I42" s="13" t="str">
        <f t="shared" ca="1" si="7"/>
        <v>AB</v>
      </c>
      <c r="J42" s="11" t="str">
        <f t="shared" ca="1" si="8"/>
        <v>Rare</v>
      </c>
      <c r="K42" s="12" t="str">
        <f ca="1">$D$24</f>
        <v>AB</v>
      </c>
      <c r="L42" s="11" t="str">
        <f ca="1">$E$24</f>
        <v>Rare</v>
      </c>
      <c r="M42" s="13">
        <f t="shared" ca="1" si="3"/>
        <v>1</v>
      </c>
      <c r="N42" s="3">
        <f t="shared" ca="1" si="4"/>
        <v>1</v>
      </c>
      <c r="O42">
        <f t="shared" ca="1" si="5"/>
        <v>1</v>
      </c>
      <c r="R42" s="1"/>
    </row>
    <row r="43" spans="7:18" x14ac:dyDescent="0.25">
      <c r="G43" t="str">
        <f>$A$7</f>
        <v>D3-R3</v>
      </c>
      <c r="H43" t="str">
        <f>$A$5</f>
        <v>D1-R1</v>
      </c>
      <c r="I43" s="13" t="str">
        <f ca="1">$B$7</f>
        <v>O</v>
      </c>
      <c r="J43" s="11" t="str">
        <f ca="1">$C$7</f>
        <v>Rare</v>
      </c>
      <c r="K43" s="16" t="str">
        <f ca="1">$D$5</f>
        <v>O</v>
      </c>
      <c r="L43" s="13" t="str">
        <f ca="1">$E$5</f>
        <v>Rare</v>
      </c>
      <c r="M43" s="13">
        <f t="shared" ca="1" si="3"/>
        <v>1</v>
      </c>
      <c r="N43" s="3">
        <f t="shared" ca="1" si="4"/>
        <v>1</v>
      </c>
      <c r="O43">
        <f t="shared" ca="1" si="5"/>
        <v>1</v>
      </c>
      <c r="R43" s="1"/>
    </row>
    <row r="44" spans="7:18" x14ac:dyDescent="0.25">
      <c r="G44" t="str">
        <f t="shared" ref="G44:G61" si="9">$A$7</f>
        <v>D3-R3</v>
      </c>
      <c r="H44" t="str">
        <f>$A$6</f>
        <v>D2-R2</v>
      </c>
      <c r="I44" s="13" t="str">
        <f t="shared" ref="I44:I61" ca="1" si="10">$B$7</f>
        <v>O</v>
      </c>
      <c r="J44" s="11" t="str">
        <f t="shared" ref="J44:J61" ca="1" si="11">$C$7</f>
        <v>Rare</v>
      </c>
      <c r="K44" s="16" t="str">
        <f ca="1">$D$6</f>
        <v>AB</v>
      </c>
      <c r="L44" s="13" t="str">
        <f ca="1">$E$6</f>
        <v>Frequent</v>
      </c>
      <c r="M44" s="13">
        <f t="shared" ca="1" si="3"/>
        <v>1</v>
      </c>
      <c r="N44" s="3">
        <f t="shared" ca="1" si="4"/>
        <v>1</v>
      </c>
      <c r="O44">
        <f t="shared" ca="1" si="5"/>
        <v>1</v>
      </c>
      <c r="R44" s="1"/>
    </row>
    <row r="45" spans="7:18" x14ac:dyDescent="0.25">
      <c r="G45" t="str">
        <f t="shared" si="9"/>
        <v>D3-R3</v>
      </c>
      <c r="H45" t="str">
        <f>$A$8</f>
        <v>D4-R4</v>
      </c>
      <c r="I45" s="13" t="str">
        <f t="shared" ca="1" si="10"/>
        <v>O</v>
      </c>
      <c r="J45" s="11" t="str">
        <f t="shared" ca="1" si="11"/>
        <v>Rare</v>
      </c>
      <c r="K45" s="17" t="str">
        <f ca="1">$D$8</f>
        <v>A</v>
      </c>
      <c r="L45" s="15" t="str">
        <f ca="1">$E$8</f>
        <v>Frequent</v>
      </c>
      <c r="M45" s="13">
        <f t="shared" ca="1" si="3"/>
        <v>1</v>
      </c>
      <c r="N45" s="3">
        <f t="shared" ca="1" si="4"/>
        <v>1</v>
      </c>
      <c r="O45">
        <f t="shared" ca="1" si="5"/>
        <v>1</v>
      </c>
      <c r="R45" s="1"/>
    </row>
    <row r="46" spans="7:18" x14ac:dyDescent="0.25">
      <c r="G46" t="str">
        <f t="shared" si="9"/>
        <v>D3-R3</v>
      </c>
      <c r="H46" t="str">
        <f>$A$9</f>
        <v>D5-R5</v>
      </c>
      <c r="I46" s="13" t="str">
        <f t="shared" ca="1" si="10"/>
        <v>O</v>
      </c>
      <c r="J46" s="11" t="str">
        <f t="shared" ca="1" si="11"/>
        <v>Rare</v>
      </c>
      <c r="K46" s="17" t="str">
        <f ca="1">$D$9</f>
        <v>AB</v>
      </c>
      <c r="L46" s="15" t="str">
        <f ca="1">$E$9</f>
        <v>Rare</v>
      </c>
      <c r="M46" s="13">
        <f t="shared" ca="1" si="3"/>
        <v>1</v>
      </c>
      <c r="N46" s="3">
        <f t="shared" ca="1" si="4"/>
        <v>1</v>
      </c>
      <c r="O46">
        <f t="shared" ca="1" si="5"/>
        <v>1</v>
      </c>
      <c r="R46" s="1"/>
    </row>
    <row r="47" spans="7:18" x14ac:dyDescent="0.25">
      <c r="G47" t="str">
        <f t="shared" si="9"/>
        <v>D3-R3</v>
      </c>
      <c r="H47" t="str">
        <f>$A$10</f>
        <v>D6-R6</v>
      </c>
      <c r="I47" s="13" t="str">
        <f t="shared" ca="1" si="10"/>
        <v>O</v>
      </c>
      <c r="J47" s="11" t="str">
        <f t="shared" ca="1" si="11"/>
        <v>Rare</v>
      </c>
      <c r="K47" s="17" t="str">
        <f ca="1">$D$10</f>
        <v>AB</v>
      </c>
      <c r="L47" s="15" t="str">
        <f ca="1">$E$10</f>
        <v>Frequent</v>
      </c>
      <c r="M47" s="13">
        <f t="shared" ca="1" si="3"/>
        <v>1</v>
      </c>
      <c r="N47" s="3">
        <f t="shared" ca="1" si="4"/>
        <v>1</v>
      </c>
      <c r="O47">
        <f t="shared" ca="1" si="5"/>
        <v>1</v>
      </c>
      <c r="R47" s="1"/>
    </row>
    <row r="48" spans="7:18" x14ac:dyDescent="0.25">
      <c r="G48" t="str">
        <f t="shared" si="9"/>
        <v>D3-R3</v>
      </c>
      <c r="H48" t="str">
        <f>$A$11</f>
        <v>D7-R7</v>
      </c>
      <c r="I48" s="13" t="str">
        <f t="shared" ca="1" si="10"/>
        <v>O</v>
      </c>
      <c r="J48" s="11" t="str">
        <f t="shared" ca="1" si="11"/>
        <v>Rare</v>
      </c>
      <c r="K48" s="17" t="str">
        <f ca="1">$D$11</f>
        <v>O</v>
      </c>
      <c r="L48" s="15" t="str">
        <f ca="1">$E$11</f>
        <v>Frequent</v>
      </c>
      <c r="M48" s="13">
        <f t="shared" ca="1" si="3"/>
        <v>1</v>
      </c>
      <c r="N48" s="3">
        <f t="shared" ca="1" si="4"/>
        <v>1</v>
      </c>
      <c r="O48">
        <f t="shared" ca="1" si="5"/>
        <v>1</v>
      </c>
      <c r="R48" s="1"/>
    </row>
    <row r="49" spans="7:18" x14ac:dyDescent="0.25">
      <c r="G49" t="str">
        <f t="shared" si="9"/>
        <v>D3-R3</v>
      </c>
      <c r="H49" t="str">
        <f>$A$12</f>
        <v>D8-R8</v>
      </c>
      <c r="I49" s="13" t="str">
        <f t="shared" ca="1" si="10"/>
        <v>O</v>
      </c>
      <c r="J49" s="11" t="str">
        <f t="shared" ca="1" si="11"/>
        <v>Rare</v>
      </c>
      <c r="K49" s="17" t="str">
        <f ca="1">$D$12</f>
        <v>B</v>
      </c>
      <c r="L49" s="15" t="str">
        <f ca="1">$E$12</f>
        <v>Rare</v>
      </c>
      <c r="M49" s="13">
        <f t="shared" ca="1" si="3"/>
        <v>1</v>
      </c>
      <c r="N49" s="3">
        <f t="shared" ca="1" si="4"/>
        <v>1</v>
      </c>
      <c r="O49">
        <f t="shared" ca="1" si="5"/>
        <v>1</v>
      </c>
      <c r="R49" s="1"/>
    </row>
    <row r="50" spans="7:18" x14ac:dyDescent="0.25">
      <c r="G50" t="str">
        <f t="shared" si="9"/>
        <v>D3-R3</v>
      </c>
      <c r="H50" t="str">
        <f>$A$13</f>
        <v>D9-R9</v>
      </c>
      <c r="I50" s="13" t="str">
        <f t="shared" ca="1" si="10"/>
        <v>O</v>
      </c>
      <c r="J50" s="11" t="str">
        <f t="shared" ca="1" si="11"/>
        <v>Rare</v>
      </c>
      <c r="K50" s="17" t="str">
        <f ca="1">$D$13</f>
        <v>A</v>
      </c>
      <c r="L50" s="15" t="str">
        <f ca="1">$E$13</f>
        <v>Frequent</v>
      </c>
      <c r="M50" s="13">
        <f t="shared" ca="1" si="3"/>
        <v>1</v>
      </c>
      <c r="N50" s="3">
        <f t="shared" ca="1" si="4"/>
        <v>1</v>
      </c>
      <c r="O50">
        <f t="shared" ca="1" si="5"/>
        <v>1</v>
      </c>
      <c r="R50" s="1"/>
    </row>
    <row r="51" spans="7:18" x14ac:dyDescent="0.25">
      <c r="G51" t="str">
        <f t="shared" si="9"/>
        <v>D3-R3</v>
      </c>
      <c r="H51" t="str">
        <f>$A$14</f>
        <v>D10-R10</v>
      </c>
      <c r="I51" s="13" t="str">
        <f t="shared" ca="1" si="10"/>
        <v>O</v>
      </c>
      <c r="J51" s="13" t="str">
        <f t="shared" ca="1" si="11"/>
        <v>Rare</v>
      </c>
      <c r="K51" s="12" t="str">
        <f ca="1">$D$14</f>
        <v>A</v>
      </c>
      <c r="L51" s="11" t="str">
        <f ca="1">$E$14</f>
        <v>Frequent</v>
      </c>
      <c r="M51" s="13">
        <f t="shared" ca="1" si="3"/>
        <v>1</v>
      </c>
      <c r="N51" s="3">
        <f t="shared" ca="1" si="4"/>
        <v>1</v>
      </c>
      <c r="O51">
        <f t="shared" ca="1" si="5"/>
        <v>1</v>
      </c>
      <c r="R51" s="1"/>
    </row>
    <row r="52" spans="7:18" x14ac:dyDescent="0.25">
      <c r="G52" t="str">
        <f t="shared" si="9"/>
        <v>D3-R3</v>
      </c>
      <c r="H52" t="str">
        <f>$A$15</f>
        <v>D11-R11</v>
      </c>
      <c r="I52" s="13" t="str">
        <f t="shared" ca="1" si="10"/>
        <v>O</v>
      </c>
      <c r="J52" s="13" t="str">
        <f t="shared" ca="1" si="11"/>
        <v>Rare</v>
      </c>
      <c r="K52" s="17" t="str">
        <f ca="1">$D$15</f>
        <v>AB</v>
      </c>
      <c r="L52" s="15" t="str">
        <f ca="1">$E$15</f>
        <v>Frequent</v>
      </c>
      <c r="M52" s="13">
        <f t="shared" ca="1" si="3"/>
        <v>1</v>
      </c>
      <c r="N52" s="3">
        <f t="shared" ca="1" si="4"/>
        <v>1</v>
      </c>
      <c r="O52">
        <f t="shared" ca="1" si="5"/>
        <v>1</v>
      </c>
      <c r="R52" s="1"/>
    </row>
    <row r="53" spans="7:18" x14ac:dyDescent="0.25">
      <c r="G53" t="str">
        <f t="shared" si="9"/>
        <v>D3-R3</v>
      </c>
      <c r="H53" t="str">
        <f>$A$16</f>
        <v>D12-R12</v>
      </c>
      <c r="I53" s="13" t="str">
        <f t="shared" ca="1" si="10"/>
        <v>O</v>
      </c>
      <c r="J53" s="13" t="str">
        <f t="shared" ca="1" si="11"/>
        <v>Rare</v>
      </c>
      <c r="K53" s="17" t="str">
        <f ca="1">$D$16</f>
        <v>B</v>
      </c>
      <c r="L53" s="15" t="str">
        <f ca="1">$E$16</f>
        <v>Rare</v>
      </c>
      <c r="M53" s="13">
        <f t="shared" ca="1" si="3"/>
        <v>1</v>
      </c>
      <c r="N53" s="3">
        <f t="shared" ca="1" si="4"/>
        <v>1</v>
      </c>
      <c r="O53">
        <f t="shared" ca="1" si="5"/>
        <v>1</v>
      </c>
      <c r="R53" s="1"/>
    </row>
    <row r="54" spans="7:18" x14ac:dyDescent="0.25">
      <c r="G54" t="str">
        <f t="shared" si="9"/>
        <v>D3-R3</v>
      </c>
      <c r="H54" t="str">
        <f>$A$17</f>
        <v>D13-R13</v>
      </c>
      <c r="I54" s="13" t="str">
        <f t="shared" ca="1" si="10"/>
        <v>O</v>
      </c>
      <c r="J54" s="13" t="str">
        <f t="shared" ca="1" si="11"/>
        <v>Rare</v>
      </c>
      <c r="K54" s="17" t="str">
        <f ca="1">$D$17</f>
        <v>AB</v>
      </c>
      <c r="L54" s="15" t="str">
        <f ca="1">$E$17</f>
        <v>Frequent</v>
      </c>
      <c r="M54" s="13">
        <f t="shared" ca="1" si="3"/>
        <v>1</v>
      </c>
      <c r="N54" s="3">
        <f t="shared" ca="1" si="4"/>
        <v>1</v>
      </c>
      <c r="O54">
        <f t="shared" ca="1" si="5"/>
        <v>1</v>
      </c>
      <c r="R54" s="1"/>
    </row>
    <row r="55" spans="7:18" x14ac:dyDescent="0.25">
      <c r="G55" t="str">
        <f t="shared" si="9"/>
        <v>D3-R3</v>
      </c>
      <c r="H55" t="str">
        <f>$A$18</f>
        <v>D14-R14</v>
      </c>
      <c r="I55" s="13" t="str">
        <f t="shared" ca="1" si="10"/>
        <v>O</v>
      </c>
      <c r="J55" s="13" t="str">
        <f t="shared" ca="1" si="11"/>
        <v>Rare</v>
      </c>
      <c r="K55" s="17" t="str">
        <f ca="1">$D$18</f>
        <v>B</v>
      </c>
      <c r="L55" s="15" t="str">
        <f ca="1">$E$18</f>
        <v>Frequent</v>
      </c>
      <c r="M55" s="13">
        <f t="shared" ca="1" si="3"/>
        <v>1</v>
      </c>
      <c r="N55" s="3">
        <f t="shared" ca="1" si="4"/>
        <v>1</v>
      </c>
      <c r="O55">
        <f t="shared" ca="1" si="5"/>
        <v>1</v>
      </c>
      <c r="R55" s="1"/>
    </row>
    <row r="56" spans="7:18" x14ac:dyDescent="0.25">
      <c r="G56" t="str">
        <f t="shared" si="9"/>
        <v>D3-R3</v>
      </c>
      <c r="H56" t="str">
        <f>$A$19</f>
        <v>D15-R15</v>
      </c>
      <c r="I56" s="13" t="str">
        <f t="shared" ca="1" si="10"/>
        <v>O</v>
      </c>
      <c r="J56" s="13" t="str">
        <f t="shared" ca="1" si="11"/>
        <v>Rare</v>
      </c>
      <c r="K56" s="17" t="str">
        <f ca="1">$D$19</f>
        <v>B</v>
      </c>
      <c r="L56" s="15" t="str">
        <f ca="1">$E$19</f>
        <v>Frequent</v>
      </c>
      <c r="M56" s="13">
        <f t="shared" ca="1" si="3"/>
        <v>1</v>
      </c>
      <c r="N56" s="3">
        <f t="shared" ca="1" si="4"/>
        <v>1</v>
      </c>
      <c r="O56">
        <f t="shared" ca="1" si="5"/>
        <v>1</v>
      </c>
      <c r="R56" s="1"/>
    </row>
    <row r="57" spans="7:18" x14ac:dyDescent="0.25">
      <c r="G57" t="str">
        <f t="shared" si="9"/>
        <v>D3-R3</v>
      </c>
      <c r="H57" t="str">
        <f>$A$20</f>
        <v>D16-R16</v>
      </c>
      <c r="I57" s="13" t="str">
        <f t="shared" ca="1" si="10"/>
        <v>O</v>
      </c>
      <c r="J57" s="13" t="str">
        <f t="shared" ca="1" si="11"/>
        <v>Rare</v>
      </c>
      <c r="K57" s="17" t="str">
        <f ca="1">$D$20</f>
        <v>B</v>
      </c>
      <c r="L57" s="15" t="str">
        <f ca="1">$E$20</f>
        <v>Frequent</v>
      </c>
      <c r="M57" s="13">
        <f t="shared" ca="1" si="3"/>
        <v>1</v>
      </c>
      <c r="N57" s="3">
        <f t="shared" ca="1" si="4"/>
        <v>1</v>
      </c>
      <c r="O57">
        <f t="shared" ca="1" si="5"/>
        <v>1</v>
      </c>
      <c r="R57" s="1"/>
    </row>
    <row r="58" spans="7:18" x14ac:dyDescent="0.25">
      <c r="G58" t="str">
        <f t="shared" si="9"/>
        <v>D3-R3</v>
      </c>
      <c r="H58" t="str">
        <f>$A$21</f>
        <v>D17-R17</v>
      </c>
      <c r="I58" s="13" t="str">
        <f t="shared" ca="1" si="10"/>
        <v>O</v>
      </c>
      <c r="J58" s="13" t="str">
        <f t="shared" ca="1" si="11"/>
        <v>Rare</v>
      </c>
      <c r="K58" s="12" t="str">
        <f ca="1">$D$21</f>
        <v>B</v>
      </c>
      <c r="L58" s="11" t="str">
        <f ca="1">$E$21</f>
        <v>Rare</v>
      </c>
      <c r="M58" s="13">
        <f t="shared" ca="1" si="3"/>
        <v>1</v>
      </c>
      <c r="N58" s="3">
        <f t="shared" ca="1" si="4"/>
        <v>1</v>
      </c>
      <c r="O58">
        <f t="shared" ca="1" si="5"/>
        <v>1</v>
      </c>
      <c r="R58" s="1"/>
    </row>
    <row r="59" spans="7:18" x14ac:dyDescent="0.25">
      <c r="G59" t="str">
        <f t="shared" si="9"/>
        <v>D3-R3</v>
      </c>
      <c r="H59" t="str">
        <f>$A$22</f>
        <v>D18-R18</v>
      </c>
      <c r="I59" s="13" t="str">
        <f t="shared" ca="1" si="10"/>
        <v>O</v>
      </c>
      <c r="J59" s="13" t="str">
        <f t="shared" ca="1" si="11"/>
        <v>Rare</v>
      </c>
      <c r="K59" s="12" t="str">
        <f ca="1">$D$22</f>
        <v>A</v>
      </c>
      <c r="L59" s="11" t="str">
        <f ca="1">$E$22</f>
        <v>Rare</v>
      </c>
      <c r="M59" s="13">
        <f t="shared" ca="1" si="3"/>
        <v>1</v>
      </c>
      <c r="N59" s="3">
        <f t="shared" ca="1" si="4"/>
        <v>1</v>
      </c>
      <c r="O59">
        <f t="shared" ca="1" si="5"/>
        <v>1</v>
      </c>
      <c r="R59" s="1"/>
    </row>
    <row r="60" spans="7:18" x14ac:dyDescent="0.25">
      <c r="G60" t="str">
        <f t="shared" si="9"/>
        <v>D3-R3</v>
      </c>
      <c r="H60" t="str">
        <f>$A$23</f>
        <v>D19-R19</v>
      </c>
      <c r="I60" s="13" t="str">
        <f t="shared" ca="1" si="10"/>
        <v>O</v>
      </c>
      <c r="J60" s="13" t="str">
        <f t="shared" ca="1" si="11"/>
        <v>Rare</v>
      </c>
      <c r="K60" s="12" t="str">
        <f ca="1">$D$23</f>
        <v>B</v>
      </c>
      <c r="L60" s="11" t="str">
        <f ca="1">$E$23</f>
        <v>Rare</v>
      </c>
      <c r="M60" s="13">
        <f t="shared" ca="1" si="3"/>
        <v>1</v>
      </c>
      <c r="N60" s="3">
        <f t="shared" ca="1" si="4"/>
        <v>1</v>
      </c>
      <c r="O60">
        <f t="shared" ca="1" si="5"/>
        <v>1</v>
      </c>
      <c r="R60" s="1"/>
    </row>
    <row r="61" spans="7:18" x14ac:dyDescent="0.25">
      <c r="G61" t="str">
        <f t="shared" si="9"/>
        <v>D3-R3</v>
      </c>
      <c r="H61" t="str">
        <f>$A$24</f>
        <v>D20-R20</v>
      </c>
      <c r="I61" s="13" t="str">
        <f t="shared" ca="1" si="10"/>
        <v>O</v>
      </c>
      <c r="J61" s="13" t="str">
        <f t="shared" ca="1" si="11"/>
        <v>Rare</v>
      </c>
      <c r="K61" s="12" t="str">
        <f ca="1">$D$24</f>
        <v>AB</v>
      </c>
      <c r="L61" s="11" t="str">
        <f ca="1">$E$24</f>
        <v>Rare</v>
      </c>
      <c r="M61" s="13">
        <f t="shared" ca="1" si="3"/>
        <v>1</v>
      </c>
      <c r="N61" s="3">
        <f t="shared" ca="1" si="4"/>
        <v>1</v>
      </c>
      <c r="O61">
        <f t="shared" ca="1" si="5"/>
        <v>1</v>
      </c>
      <c r="R61" s="1"/>
    </row>
    <row r="62" spans="7:18" x14ac:dyDescent="0.25">
      <c r="G62" t="str">
        <f>$A$8</f>
        <v>D4-R4</v>
      </c>
      <c r="H62" t="str">
        <f>$A$5</f>
        <v>D1-R1</v>
      </c>
      <c r="I62" s="13" t="str">
        <f ca="1">$B$8</f>
        <v>A</v>
      </c>
      <c r="J62" s="13" t="str">
        <f ca="1">$C$8</f>
        <v>Rare</v>
      </c>
      <c r="K62" s="16" t="str">
        <f ca="1">$D$5</f>
        <v>O</v>
      </c>
      <c r="L62" s="13" t="str">
        <f ca="1">$E$5</f>
        <v>Rare</v>
      </c>
      <c r="M62" s="13">
        <f t="shared" ca="1" si="3"/>
        <v>0</v>
      </c>
      <c r="N62" s="3">
        <f t="shared" ca="1" si="4"/>
        <v>1</v>
      </c>
      <c r="O62">
        <f t="shared" ca="1" si="5"/>
        <v>0</v>
      </c>
      <c r="R62" s="1"/>
    </row>
    <row r="63" spans="7:18" x14ac:dyDescent="0.25">
      <c r="G63" t="str">
        <f t="shared" ref="G63:G80" si="12">$A$8</f>
        <v>D4-R4</v>
      </c>
      <c r="H63" t="str">
        <f>$A$6</f>
        <v>D2-R2</v>
      </c>
      <c r="I63" s="13" t="str">
        <f t="shared" ref="I63:I80" ca="1" si="13">$B$8</f>
        <v>A</v>
      </c>
      <c r="J63" s="13" t="str">
        <f t="shared" ref="J63:J80" ca="1" si="14">$C$8</f>
        <v>Rare</v>
      </c>
      <c r="K63" s="16" t="str">
        <f ca="1">$D$6</f>
        <v>AB</v>
      </c>
      <c r="L63" s="13" t="str">
        <f ca="1">$E$6</f>
        <v>Frequent</v>
      </c>
      <c r="M63" s="13">
        <f t="shared" ca="1" si="3"/>
        <v>1</v>
      </c>
      <c r="N63" s="3">
        <f t="shared" ca="1" si="4"/>
        <v>1</v>
      </c>
      <c r="O63">
        <f t="shared" ca="1" si="5"/>
        <v>1</v>
      </c>
      <c r="R63" s="1"/>
    </row>
    <row r="64" spans="7:18" x14ac:dyDescent="0.25">
      <c r="G64" t="str">
        <f t="shared" si="12"/>
        <v>D4-R4</v>
      </c>
      <c r="H64" t="str">
        <f>$A$7</f>
        <v>D3-R3</v>
      </c>
      <c r="I64" s="13" t="str">
        <f t="shared" ca="1" si="13"/>
        <v>A</v>
      </c>
      <c r="J64" s="13" t="str">
        <f t="shared" ca="1" si="14"/>
        <v>Rare</v>
      </c>
      <c r="K64" s="12" t="str">
        <f ca="1">$D$7</f>
        <v>B</v>
      </c>
      <c r="L64" s="11" t="str">
        <f ca="1">$E$7</f>
        <v>Frequent</v>
      </c>
      <c r="M64" s="13">
        <f t="shared" ca="1" si="3"/>
        <v>0</v>
      </c>
      <c r="N64" s="3">
        <f t="shared" ca="1" si="4"/>
        <v>1</v>
      </c>
      <c r="O64">
        <f t="shared" ca="1" si="5"/>
        <v>0</v>
      </c>
      <c r="R64" s="1"/>
    </row>
    <row r="65" spans="7:18" x14ac:dyDescent="0.25">
      <c r="G65" t="str">
        <f t="shared" si="12"/>
        <v>D4-R4</v>
      </c>
      <c r="H65" t="str">
        <f>$A$9</f>
        <v>D5-R5</v>
      </c>
      <c r="I65" s="13" t="str">
        <f t="shared" ca="1" si="13"/>
        <v>A</v>
      </c>
      <c r="J65" s="13" t="str">
        <f t="shared" ca="1" si="14"/>
        <v>Rare</v>
      </c>
      <c r="K65" s="17" t="str">
        <f ca="1">$D$9</f>
        <v>AB</v>
      </c>
      <c r="L65" s="15" t="str">
        <f ca="1">$E$9</f>
        <v>Rare</v>
      </c>
      <c r="M65" s="13">
        <f t="shared" ca="1" si="3"/>
        <v>1</v>
      </c>
      <c r="N65" s="3">
        <f t="shared" ca="1" si="4"/>
        <v>1</v>
      </c>
      <c r="O65">
        <f t="shared" ca="1" si="5"/>
        <v>1</v>
      </c>
      <c r="R65" s="1"/>
    </row>
    <row r="66" spans="7:18" x14ac:dyDescent="0.25">
      <c r="G66" t="str">
        <f t="shared" si="12"/>
        <v>D4-R4</v>
      </c>
      <c r="H66" t="str">
        <f>$A$10</f>
        <v>D6-R6</v>
      </c>
      <c r="I66" s="13" t="str">
        <f t="shared" ca="1" si="13"/>
        <v>A</v>
      </c>
      <c r="J66" s="13" t="str">
        <f t="shared" ca="1" si="14"/>
        <v>Rare</v>
      </c>
      <c r="K66" s="17" t="str">
        <f ca="1">$D$10</f>
        <v>AB</v>
      </c>
      <c r="L66" s="15" t="str">
        <f ca="1">$E$10</f>
        <v>Frequent</v>
      </c>
      <c r="M66" s="13">
        <f t="shared" ca="1" si="3"/>
        <v>1</v>
      </c>
      <c r="N66" s="3">
        <f t="shared" ca="1" si="4"/>
        <v>1</v>
      </c>
      <c r="O66">
        <f t="shared" ca="1" si="5"/>
        <v>1</v>
      </c>
      <c r="R66" s="1"/>
    </row>
    <row r="67" spans="7:18" x14ac:dyDescent="0.25">
      <c r="G67" t="str">
        <f t="shared" si="12"/>
        <v>D4-R4</v>
      </c>
      <c r="H67" t="str">
        <f>$A$11</f>
        <v>D7-R7</v>
      </c>
      <c r="I67" s="13" t="str">
        <f t="shared" ca="1" si="13"/>
        <v>A</v>
      </c>
      <c r="J67" s="13" t="str">
        <f t="shared" ca="1" si="14"/>
        <v>Rare</v>
      </c>
      <c r="K67" s="17" t="str">
        <f ca="1">$D$11</f>
        <v>O</v>
      </c>
      <c r="L67" s="15" t="str">
        <f ca="1">$E$11</f>
        <v>Frequent</v>
      </c>
      <c r="M67" s="13">
        <f t="shared" ca="1" si="3"/>
        <v>0</v>
      </c>
      <c r="N67" s="3">
        <f t="shared" ca="1" si="4"/>
        <v>1</v>
      </c>
      <c r="O67">
        <f t="shared" ca="1" si="5"/>
        <v>0</v>
      </c>
      <c r="R67" s="1"/>
    </row>
    <row r="68" spans="7:18" x14ac:dyDescent="0.25">
      <c r="G68" t="str">
        <f t="shared" si="12"/>
        <v>D4-R4</v>
      </c>
      <c r="H68" t="str">
        <f>$A$12</f>
        <v>D8-R8</v>
      </c>
      <c r="I68" s="13" t="str">
        <f t="shared" ca="1" si="13"/>
        <v>A</v>
      </c>
      <c r="J68" s="13" t="str">
        <f t="shared" ca="1" si="14"/>
        <v>Rare</v>
      </c>
      <c r="K68" s="17" t="str">
        <f ca="1">$D$12</f>
        <v>B</v>
      </c>
      <c r="L68" s="15" t="str">
        <f ca="1">$E$12</f>
        <v>Rare</v>
      </c>
      <c r="M68" s="13">
        <f t="shared" ca="1" si="3"/>
        <v>0</v>
      </c>
      <c r="N68" s="3">
        <f t="shared" ca="1" si="4"/>
        <v>1</v>
      </c>
      <c r="O68">
        <f t="shared" ca="1" si="5"/>
        <v>0</v>
      </c>
      <c r="R68" s="1"/>
    </row>
    <row r="69" spans="7:18" x14ac:dyDescent="0.25">
      <c r="G69" t="str">
        <f t="shared" si="12"/>
        <v>D4-R4</v>
      </c>
      <c r="H69" t="str">
        <f>$A$13</f>
        <v>D9-R9</v>
      </c>
      <c r="I69" s="13" t="str">
        <f t="shared" ca="1" si="13"/>
        <v>A</v>
      </c>
      <c r="J69" s="13" t="str">
        <f t="shared" ca="1" si="14"/>
        <v>Rare</v>
      </c>
      <c r="K69" s="17" t="str">
        <f ca="1">$D$13</f>
        <v>A</v>
      </c>
      <c r="L69" s="15" t="str">
        <f ca="1">$E$13</f>
        <v>Frequent</v>
      </c>
      <c r="M69" s="13">
        <f t="shared" ca="1" si="3"/>
        <v>1</v>
      </c>
      <c r="N69" s="3">
        <f t="shared" ca="1" si="4"/>
        <v>1</v>
      </c>
      <c r="O69">
        <f t="shared" ca="1" si="5"/>
        <v>1</v>
      </c>
      <c r="R69" s="1"/>
    </row>
    <row r="70" spans="7:18" x14ac:dyDescent="0.25">
      <c r="G70" t="str">
        <f t="shared" si="12"/>
        <v>D4-R4</v>
      </c>
      <c r="H70" t="str">
        <f>$A$14</f>
        <v>D10-R10</v>
      </c>
      <c r="I70" s="13" t="str">
        <f t="shared" ca="1" si="13"/>
        <v>A</v>
      </c>
      <c r="J70" s="13" t="str">
        <f t="shared" ca="1" si="14"/>
        <v>Rare</v>
      </c>
      <c r="K70" s="12" t="str">
        <f ca="1">$D$14</f>
        <v>A</v>
      </c>
      <c r="L70" s="11" t="str">
        <f ca="1">$E$14</f>
        <v>Frequent</v>
      </c>
      <c r="M70" s="13">
        <f t="shared" ref="M70:N133" ca="1" si="15">checkFeasibility(I70,K70)</f>
        <v>1</v>
      </c>
      <c r="N70" s="3">
        <f t="shared" ca="1" si="15"/>
        <v>1</v>
      </c>
      <c r="O70">
        <f t="shared" ref="O70:O133" ca="1" si="16">IF(SUM(M70,N70)=2,1,0)</f>
        <v>1</v>
      </c>
      <c r="R70" s="1"/>
    </row>
    <row r="71" spans="7:18" x14ac:dyDescent="0.25">
      <c r="G71" t="str">
        <f t="shared" si="12"/>
        <v>D4-R4</v>
      </c>
      <c r="H71" t="str">
        <f>$A$15</f>
        <v>D11-R11</v>
      </c>
      <c r="I71" s="13" t="str">
        <f t="shared" ca="1" si="13"/>
        <v>A</v>
      </c>
      <c r="J71" s="13" t="str">
        <f t="shared" ca="1" si="14"/>
        <v>Rare</v>
      </c>
      <c r="K71" s="17" t="str">
        <f ca="1">$D$15</f>
        <v>AB</v>
      </c>
      <c r="L71" s="15" t="str">
        <f ca="1">$E$15</f>
        <v>Frequent</v>
      </c>
      <c r="M71" s="13">
        <f t="shared" ca="1" si="15"/>
        <v>1</v>
      </c>
      <c r="N71" s="3">
        <f t="shared" ca="1" si="15"/>
        <v>1</v>
      </c>
      <c r="O71">
        <f t="shared" ca="1" si="16"/>
        <v>1</v>
      </c>
      <c r="R71" s="1"/>
    </row>
    <row r="72" spans="7:18" x14ac:dyDescent="0.25">
      <c r="G72" t="str">
        <f t="shared" si="12"/>
        <v>D4-R4</v>
      </c>
      <c r="H72" t="str">
        <f>$A$16</f>
        <v>D12-R12</v>
      </c>
      <c r="I72" s="13" t="str">
        <f t="shared" ca="1" si="13"/>
        <v>A</v>
      </c>
      <c r="J72" s="13" t="str">
        <f t="shared" ca="1" si="14"/>
        <v>Rare</v>
      </c>
      <c r="K72" s="17" t="str">
        <f ca="1">$D$16</f>
        <v>B</v>
      </c>
      <c r="L72" s="15" t="str">
        <f ca="1">$E$16</f>
        <v>Rare</v>
      </c>
      <c r="M72" s="13">
        <f t="shared" ca="1" si="15"/>
        <v>0</v>
      </c>
      <c r="N72" s="3">
        <f t="shared" ca="1" si="15"/>
        <v>1</v>
      </c>
      <c r="O72">
        <f t="shared" ca="1" si="16"/>
        <v>0</v>
      </c>
      <c r="R72" s="1"/>
    </row>
    <row r="73" spans="7:18" x14ac:dyDescent="0.25">
      <c r="G73" t="str">
        <f t="shared" si="12"/>
        <v>D4-R4</v>
      </c>
      <c r="H73" t="str">
        <f>$A$17</f>
        <v>D13-R13</v>
      </c>
      <c r="I73" s="13" t="str">
        <f t="shared" ca="1" si="13"/>
        <v>A</v>
      </c>
      <c r="J73" s="13" t="str">
        <f t="shared" ca="1" si="14"/>
        <v>Rare</v>
      </c>
      <c r="K73" s="17" t="str">
        <f ca="1">$D$17</f>
        <v>AB</v>
      </c>
      <c r="L73" s="15" t="str">
        <f ca="1">$E$17</f>
        <v>Frequent</v>
      </c>
      <c r="M73" s="13">
        <f t="shared" ca="1" si="15"/>
        <v>1</v>
      </c>
      <c r="N73" s="3">
        <f t="shared" ca="1" si="15"/>
        <v>1</v>
      </c>
      <c r="O73">
        <f t="shared" ca="1" si="16"/>
        <v>1</v>
      </c>
      <c r="R73" s="1"/>
    </row>
    <row r="74" spans="7:18" x14ac:dyDescent="0.25">
      <c r="G74" t="str">
        <f t="shared" si="12"/>
        <v>D4-R4</v>
      </c>
      <c r="H74" t="str">
        <f>$A$18</f>
        <v>D14-R14</v>
      </c>
      <c r="I74" s="13" t="str">
        <f t="shared" ca="1" si="13"/>
        <v>A</v>
      </c>
      <c r="J74" s="13" t="str">
        <f t="shared" ca="1" si="14"/>
        <v>Rare</v>
      </c>
      <c r="K74" s="17" t="str">
        <f ca="1">$D$18</f>
        <v>B</v>
      </c>
      <c r="L74" s="15" t="str">
        <f ca="1">$E$18</f>
        <v>Frequent</v>
      </c>
      <c r="M74" s="13">
        <f t="shared" ca="1" si="15"/>
        <v>0</v>
      </c>
      <c r="N74" s="3">
        <f t="shared" ca="1" si="15"/>
        <v>1</v>
      </c>
      <c r="O74">
        <f t="shared" ca="1" si="16"/>
        <v>0</v>
      </c>
      <c r="R74" s="1"/>
    </row>
    <row r="75" spans="7:18" x14ac:dyDescent="0.25">
      <c r="G75" t="str">
        <f t="shared" si="12"/>
        <v>D4-R4</v>
      </c>
      <c r="H75" t="str">
        <f>$A$19</f>
        <v>D15-R15</v>
      </c>
      <c r="I75" s="13" t="str">
        <f t="shared" ca="1" si="13"/>
        <v>A</v>
      </c>
      <c r="J75" s="13" t="str">
        <f t="shared" ca="1" si="14"/>
        <v>Rare</v>
      </c>
      <c r="K75" s="17" t="str">
        <f ca="1">$D$19</f>
        <v>B</v>
      </c>
      <c r="L75" s="15" t="str">
        <f ca="1">$E$19</f>
        <v>Frequent</v>
      </c>
      <c r="M75" s="13">
        <f t="shared" ca="1" si="15"/>
        <v>0</v>
      </c>
      <c r="N75" s="3">
        <f t="shared" ca="1" si="15"/>
        <v>1</v>
      </c>
      <c r="O75">
        <f t="shared" ca="1" si="16"/>
        <v>0</v>
      </c>
      <c r="R75" s="1"/>
    </row>
    <row r="76" spans="7:18" x14ac:dyDescent="0.25">
      <c r="G76" t="str">
        <f t="shared" si="12"/>
        <v>D4-R4</v>
      </c>
      <c r="H76" t="str">
        <f>$A$20</f>
        <v>D16-R16</v>
      </c>
      <c r="I76" s="13" t="str">
        <f t="shared" ca="1" si="13"/>
        <v>A</v>
      </c>
      <c r="J76" s="13" t="str">
        <f t="shared" ca="1" si="14"/>
        <v>Rare</v>
      </c>
      <c r="K76" s="17" t="str">
        <f ca="1">$D$20</f>
        <v>B</v>
      </c>
      <c r="L76" s="15" t="str">
        <f ca="1">$E$20</f>
        <v>Frequent</v>
      </c>
      <c r="M76" s="13">
        <f t="shared" ca="1" si="15"/>
        <v>0</v>
      </c>
      <c r="N76" s="3">
        <f t="shared" ca="1" si="15"/>
        <v>1</v>
      </c>
      <c r="O76">
        <f t="shared" ca="1" si="16"/>
        <v>0</v>
      </c>
      <c r="R76" s="1"/>
    </row>
    <row r="77" spans="7:18" x14ac:dyDescent="0.25">
      <c r="G77" t="str">
        <f t="shared" si="12"/>
        <v>D4-R4</v>
      </c>
      <c r="H77" t="str">
        <f>$A$21</f>
        <v>D17-R17</v>
      </c>
      <c r="I77" s="13" t="str">
        <f t="shared" ca="1" si="13"/>
        <v>A</v>
      </c>
      <c r="J77" s="13" t="str">
        <f t="shared" ca="1" si="14"/>
        <v>Rare</v>
      </c>
      <c r="K77" s="12" t="str">
        <f ca="1">$D$21</f>
        <v>B</v>
      </c>
      <c r="L77" s="11" t="str">
        <f ca="1">$E$21</f>
        <v>Rare</v>
      </c>
      <c r="M77" s="13">
        <f t="shared" ca="1" si="15"/>
        <v>0</v>
      </c>
      <c r="N77" s="3">
        <f t="shared" ca="1" si="15"/>
        <v>1</v>
      </c>
      <c r="O77">
        <f t="shared" ca="1" si="16"/>
        <v>0</v>
      </c>
      <c r="R77" s="1"/>
    </row>
    <row r="78" spans="7:18" x14ac:dyDescent="0.25">
      <c r="G78" t="str">
        <f t="shared" si="12"/>
        <v>D4-R4</v>
      </c>
      <c r="H78" t="str">
        <f>$A$22</f>
        <v>D18-R18</v>
      </c>
      <c r="I78" s="13" t="str">
        <f t="shared" ca="1" si="13"/>
        <v>A</v>
      </c>
      <c r="J78" s="13" t="str">
        <f t="shared" ca="1" si="14"/>
        <v>Rare</v>
      </c>
      <c r="K78" s="12" t="str">
        <f ca="1">$D$22</f>
        <v>A</v>
      </c>
      <c r="L78" s="11" t="str">
        <f ca="1">$E$22</f>
        <v>Rare</v>
      </c>
      <c r="M78" s="13">
        <f t="shared" ca="1" si="15"/>
        <v>1</v>
      </c>
      <c r="N78" s="3">
        <f t="shared" ca="1" si="15"/>
        <v>1</v>
      </c>
      <c r="O78">
        <f t="shared" ca="1" si="16"/>
        <v>1</v>
      </c>
      <c r="R78" s="1"/>
    </row>
    <row r="79" spans="7:18" x14ac:dyDescent="0.25">
      <c r="G79" t="str">
        <f t="shared" si="12"/>
        <v>D4-R4</v>
      </c>
      <c r="H79" t="str">
        <f>$A$23</f>
        <v>D19-R19</v>
      </c>
      <c r="I79" s="13" t="str">
        <f t="shared" ca="1" si="13"/>
        <v>A</v>
      </c>
      <c r="J79" s="13" t="str">
        <f t="shared" ca="1" si="14"/>
        <v>Rare</v>
      </c>
      <c r="K79" s="12" t="str">
        <f ca="1">$D$23</f>
        <v>B</v>
      </c>
      <c r="L79" s="11" t="str">
        <f ca="1">$E$23</f>
        <v>Rare</v>
      </c>
      <c r="M79" s="13">
        <f t="shared" ca="1" si="15"/>
        <v>0</v>
      </c>
      <c r="N79" s="3">
        <f t="shared" ca="1" si="15"/>
        <v>1</v>
      </c>
      <c r="O79">
        <f t="shared" ca="1" si="16"/>
        <v>0</v>
      </c>
      <c r="R79" s="1"/>
    </row>
    <row r="80" spans="7:18" x14ac:dyDescent="0.25">
      <c r="G80" t="str">
        <f t="shared" si="12"/>
        <v>D4-R4</v>
      </c>
      <c r="H80" t="str">
        <f>$A$24</f>
        <v>D20-R20</v>
      </c>
      <c r="I80" s="13" t="str">
        <f t="shared" ca="1" si="13"/>
        <v>A</v>
      </c>
      <c r="J80" s="13" t="str">
        <f t="shared" ca="1" si="14"/>
        <v>Rare</v>
      </c>
      <c r="K80" s="12" t="str">
        <f ca="1">$D$24</f>
        <v>AB</v>
      </c>
      <c r="L80" s="11" t="str">
        <f ca="1">$E$24</f>
        <v>Rare</v>
      </c>
      <c r="M80" s="13">
        <f t="shared" ca="1" si="15"/>
        <v>1</v>
      </c>
      <c r="N80" s="3">
        <f t="shared" ca="1" si="15"/>
        <v>1</v>
      </c>
      <c r="O80">
        <f t="shared" ca="1" si="16"/>
        <v>1</v>
      </c>
      <c r="R80" s="1"/>
    </row>
    <row r="81" spans="7:18" x14ac:dyDescent="0.25">
      <c r="G81" t="str">
        <f>$A$9</f>
        <v>D5-R5</v>
      </c>
      <c r="H81" t="str">
        <f>$A$5</f>
        <v>D1-R1</v>
      </c>
      <c r="I81" s="13" t="str">
        <f ca="1">$B$9</f>
        <v>AB</v>
      </c>
      <c r="J81" s="13" t="str">
        <f ca="1">$C$9</f>
        <v>Frequent</v>
      </c>
      <c r="K81" s="16" t="str">
        <f ca="1">$D$5</f>
        <v>O</v>
      </c>
      <c r="L81" s="13" t="str">
        <f ca="1">$E$5</f>
        <v>Rare</v>
      </c>
      <c r="M81" s="13">
        <f t="shared" ca="1" si="15"/>
        <v>0</v>
      </c>
      <c r="N81" s="3">
        <f t="shared" ca="1" si="15"/>
        <v>0</v>
      </c>
      <c r="O81">
        <f t="shared" ca="1" si="16"/>
        <v>0</v>
      </c>
      <c r="R81" s="1"/>
    </row>
    <row r="82" spans="7:18" x14ac:dyDescent="0.25">
      <c r="G82" t="str">
        <f>$A$9</f>
        <v>D5-R5</v>
      </c>
      <c r="H82" t="str">
        <f>$A$6</f>
        <v>D2-R2</v>
      </c>
      <c r="I82" s="13" t="str">
        <f t="shared" ref="I82:I99" ca="1" si="17">$B$9</f>
        <v>AB</v>
      </c>
      <c r="J82" s="13" t="str">
        <f t="shared" ref="J82:J99" ca="1" si="18">$C$9</f>
        <v>Frequent</v>
      </c>
      <c r="K82" s="16" t="str">
        <f ca="1">$D$6</f>
        <v>AB</v>
      </c>
      <c r="L82" s="13" t="str">
        <f ca="1">$E$6</f>
        <v>Frequent</v>
      </c>
      <c r="M82" s="13">
        <f t="shared" ca="1" si="15"/>
        <v>1</v>
      </c>
      <c r="N82" s="3">
        <f t="shared" ca="1" si="15"/>
        <v>1</v>
      </c>
      <c r="O82">
        <f t="shared" ca="1" si="16"/>
        <v>1</v>
      </c>
      <c r="R82" s="1"/>
    </row>
    <row r="83" spans="7:18" x14ac:dyDescent="0.25">
      <c r="G83" t="str">
        <f t="shared" ref="G83:G99" si="19">$A$9</f>
        <v>D5-R5</v>
      </c>
      <c r="H83" t="str">
        <f>$A$7</f>
        <v>D3-R3</v>
      </c>
      <c r="I83" s="13" t="str">
        <f t="shared" ca="1" si="17"/>
        <v>AB</v>
      </c>
      <c r="J83" s="13" t="str">
        <f t="shared" ca="1" si="18"/>
        <v>Frequent</v>
      </c>
      <c r="K83" s="12" t="str">
        <f ca="1">$D$7</f>
        <v>B</v>
      </c>
      <c r="L83" s="11" t="str">
        <f ca="1">$E$7</f>
        <v>Frequent</v>
      </c>
      <c r="M83" s="13">
        <f t="shared" ca="1" si="15"/>
        <v>0</v>
      </c>
      <c r="N83" s="3">
        <f t="shared" ca="1" si="15"/>
        <v>1</v>
      </c>
      <c r="O83">
        <f t="shared" ca="1" si="16"/>
        <v>0</v>
      </c>
      <c r="R83" s="1"/>
    </row>
    <row r="84" spans="7:18" x14ac:dyDescent="0.25">
      <c r="G84" t="str">
        <f t="shared" si="19"/>
        <v>D5-R5</v>
      </c>
      <c r="H84" t="str">
        <f>$A$8</f>
        <v>D4-R4</v>
      </c>
      <c r="I84" s="13" t="str">
        <f t="shared" ca="1" si="17"/>
        <v>AB</v>
      </c>
      <c r="J84" s="13" t="str">
        <f t="shared" ca="1" si="18"/>
        <v>Frequent</v>
      </c>
      <c r="K84" s="17" t="str">
        <f ca="1">$D$8</f>
        <v>A</v>
      </c>
      <c r="L84" s="15" t="str">
        <f ca="1">$E$8</f>
        <v>Frequent</v>
      </c>
      <c r="M84" s="13">
        <f t="shared" ca="1" si="15"/>
        <v>0</v>
      </c>
      <c r="N84" s="3">
        <f t="shared" ca="1" si="15"/>
        <v>1</v>
      </c>
      <c r="O84">
        <f t="shared" ca="1" si="16"/>
        <v>0</v>
      </c>
      <c r="R84" s="1"/>
    </row>
    <row r="85" spans="7:18" x14ac:dyDescent="0.25">
      <c r="G85" t="str">
        <f t="shared" si="19"/>
        <v>D5-R5</v>
      </c>
      <c r="H85" t="str">
        <f>$A$10</f>
        <v>D6-R6</v>
      </c>
      <c r="I85" s="13" t="str">
        <f t="shared" ca="1" si="17"/>
        <v>AB</v>
      </c>
      <c r="J85" s="13" t="str">
        <f t="shared" ca="1" si="18"/>
        <v>Frequent</v>
      </c>
      <c r="K85" s="17" t="str">
        <f ca="1">$D$10</f>
        <v>AB</v>
      </c>
      <c r="L85" s="15" t="str">
        <f ca="1">$E$10</f>
        <v>Frequent</v>
      </c>
      <c r="M85" s="13">
        <f t="shared" ca="1" si="15"/>
        <v>1</v>
      </c>
      <c r="N85" s="3">
        <f t="shared" ca="1" si="15"/>
        <v>1</v>
      </c>
      <c r="O85">
        <f t="shared" ca="1" si="16"/>
        <v>1</v>
      </c>
      <c r="R85" s="1"/>
    </row>
    <row r="86" spans="7:18" x14ac:dyDescent="0.25">
      <c r="G86" t="str">
        <f t="shared" si="19"/>
        <v>D5-R5</v>
      </c>
      <c r="H86" t="str">
        <f>$A$11</f>
        <v>D7-R7</v>
      </c>
      <c r="I86" s="13" t="str">
        <f t="shared" ca="1" si="17"/>
        <v>AB</v>
      </c>
      <c r="J86" s="13" t="str">
        <f t="shared" ca="1" si="18"/>
        <v>Frequent</v>
      </c>
      <c r="K86" s="17" t="str">
        <f ca="1">$D$11</f>
        <v>O</v>
      </c>
      <c r="L86" s="15" t="str">
        <f ca="1">$E$11</f>
        <v>Frequent</v>
      </c>
      <c r="M86" s="13">
        <f t="shared" ca="1" si="15"/>
        <v>0</v>
      </c>
      <c r="N86" s="3">
        <f t="shared" ca="1" si="15"/>
        <v>1</v>
      </c>
      <c r="O86">
        <f t="shared" ca="1" si="16"/>
        <v>0</v>
      </c>
      <c r="R86" s="1"/>
    </row>
    <row r="87" spans="7:18" x14ac:dyDescent="0.25">
      <c r="G87" t="str">
        <f t="shared" si="19"/>
        <v>D5-R5</v>
      </c>
      <c r="H87" t="str">
        <f>$A$12</f>
        <v>D8-R8</v>
      </c>
      <c r="I87" s="13" t="str">
        <f t="shared" ca="1" si="17"/>
        <v>AB</v>
      </c>
      <c r="J87" s="13" t="str">
        <f t="shared" ca="1" si="18"/>
        <v>Frequent</v>
      </c>
      <c r="K87" s="17" t="str">
        <f ca="1">$D$12</f>
        <v>B</v>
      </c>
      <c r="L87" s="15" t="str">
        <f ca="1">$E$12</f>
        <v>Rare</v>
      </c>
      <c r="M87" s="13">
        <f t="shared" ca="1" si="15"/>
        <v>0</v>
      </c>
      <c r="N87" s="3">
        <f t="shared" ca="1" si="15"/>
        <v>0</v>
      </c>
      <c r="O87">
        <f t="shared" ca="1" si="16"/>
        <v>0</v>
      </c>
      <c r="R87" s="1"/>
    </row>
    <row r="88" spans="7:18" x14ac:dyDescent="0.25">
      <c r="G88" t="str">
        <f t="shared" si="19"/>
        <v>D5-R5</v>
      </c>
      <c r="H88" t="str">
        <f>$A$13</f>
        <v>D9-R9</v>
      </c>
      <c r="I88" s="13" t="str">
        <f t="shared" ca="1" si="17"/>
        <v>AB</v>
      </c>
      <c r="J88" s="13" t="str">
        <f t="shared" ca="1" si="18"/>
        <v>Frequent</v>
      </c>
      <c r="K88" s="17" t="str">
        <f ca="1">$D$13</f>
        <v>A</v>
      </c>
      <c r="L88" s="15" t="str">
        <f ca="1">$E$13</f>
        <v>Frequent</v>
      </c>
      <c r="M88" s="13">
        <f t="shared" ca="1" si="15"/>
        <v>0</v>
      </c>
      <c r="N88" s="3">
        <f t="shared" ca="1" si="15"/>
        <v>1</v>
      </c>
      <c r="O88">
        <f t="shared" ca="1" si="16"/>
        <v>0</v>
      </c>
      <c r="R88" s="1"/>
    </row>
    <row r="89" spans="7:18" x14ac:dyDescent="0.25">
      <c r="G89" t="str">
        <f t="shared" si="19"/>
        <v>D5-R5</v>
      </c>
      <c r="H89" t="str">
        <f>$A$14</f>
        <v>D10-R10</v>
      </c>
      <c r="I89" s="13" t="str">
        <f t="shared" ca="1" si="17"/>
        <v>AB</v>
      </c>
      <c r="J89" s="13" t="str">
        <f t="shared" ca="1" si="18"/>
        <v>Frequent</v>
      </c>
      <c r="K89" s="12" t="str">
        <f ca="1">$D$14</f>
        <v>A</v>
      </c>
      <c r="L89" s="11" t="str">
        <f ca="1">$E$14</f>
        <v>Frequent</v>
      </c>
      <c r="M89" s="13">
        <f t="shared" ca="1" si="15"/>
        <v>0</v>
      </c>
      <c r="N89" s="3">
        <f t="shared" ca="1" si="15"/>
        <v>1</v>
      </c>
      <c r="O89">
        <f t="shared" ca="1" si="16"/>
        <v>0</v>
      </c>
      <c r="R89" s="1"/>
    </row>
    <row r="90" spans="7:18" x14ac:dyDescent="0.25">
      <c r="G90" t="str">
        <f t="shared" si="19"/>
        <v>D5-R5</v>
      </c>
      <c r="H90" t="str">
        <f>$A$15</f>
        <v>D11-R11</v>
      </c>
      <c r="I90" s="13" t="str">
        <f t="shared" ca="1" si="17"/>
        <v>AB</v>
      </c>
      <c r="J90" s="13" t="str">
        <f t="shared" ca="1" si="18"/>
        <v>Frequent</v>
      </c>
      <c r="K90" s="17" t="str">
        <f ca="1">$D$15</f>
        <v>AB</v>
      </c>
      <c r="L90" s="15" t="str">
        <f ca="1">$E$15</f>
        <v>Frequent</v>
      </c>
      <c r="M90" s="13">
        <f t="shared" ca="1" si="15"/>
        <v>1</v>
      </c>
      <c r="N90" s="3">
        <f t="shared" ca="1" si="15"/>
        <v>1</v>
      </c>
      <c r="O90">
        <f t="shared" ca="1" si="16"/>
        <v>1</v>
      </c>
      <c r="R90" s="1"/>
    </row>
    <row r="91" spans="7:18" x14ac:dyDescent="0.25">
      <c r="G91" t="str">
        <f t="shared" si="19"/>
        <v>D5-R5</v>
      </c>
      <c r="H91" t="str">
        <f>$A$16</f>
        <v>D12-R12</v>
      </c>
      <c r="I91" s="13" t="str">
        <f t="shared" ca="1" si="17"/>
        <v>AB</v>
      </c>
      <c r="J91" s="13" t="str">
        <f t="shared" ca="1" si="18"/>
        <v>Frequent</v>
      </c>
      <c r="K91" s="17" t="str">
        <f ca="1">$D$16</f>
        <v>B</v>
      </c>
      <c r="L91" s="15" t="str">
        <f ca="1">$E$16</f>
        <v>Rare</v>
      </c>
      <c r="M91" s="13">
        <f t="shared" ca="1" si="15"/>
        <v>0</v>
      </c>
      <c r="N91" s="3">
        <f t="shared" ca="1" si="15"/>
        <v>0</v>
      </c>
      <c r="O91">
        <f t="shared" ca="1" si="16"/>
        <v>0</v>
      </c>
      <c r="R91" s="1"/>
    </row>
    <row r="92" spans="7:18" x14ac:dyDescent="0.25">
      <c r="G92" t="str">
        <f t="shared" si="19"/>
        <v>D5-R5</v>
      </c>
      <c r="H92" t="str">
        <f>$A$17</f>
        <v>D13-R13</v>
      </c>
      <c r="I92" s="13" t="str">
        <f t="shared" ca="1" si="17"/>
        <v>AB</v>
      </c>
      <c r="J92" s="13" t="str">
        <f t="shared" ca="1" si="18"/>
        <v>Frequent</v>
      </c>
      <c r="K92" s="17" t="str">
        <f ca="1">$D$17</f>
        <v>AB</v>
      </c>
      <c r="L92" s="15" t="str">
        <f ca="1">$E$17</f>
        <v>Frequent</v>
      </c>
      <c r="M92" s="13">
        <f t="shared" ca="1" si="15"/>
        <v>1</v>
      </c>
      <c r="N92" s="3">
        <f t="shared" ca="1" si="15"/>
        <v>1</v>
      </c>
      <c r="O92">
        <f t="shared" ca="1" si="16"/>
        <v>1</v>
      </c>
      <c r="R92" s="1"/>
    </row>
    <row r="93" spans="7:18" x14ac:dyDescent="0.25">
      <c r="G93" t="str">
        <f t="shared" si="19"/>
        <v>D5-R5</v>
      </c>
      <c r="H93" t="str">
        <f>$A$18</f>
        <v>D14-R14</v>
      </c>
      <c r="I93" s="13" t="str">
        <f t="shared" ca="1" si="17"/>
        <v>AB</v>
      </c>
      <c r="J93" s="13" t="str">
        <f t="shared" ca="1" si="18"/>
        <v>Frequent</v>
      </c>
      <c r="K93" s="17" t="str">
        <f ca="1">$D$18</f>
        <v>B</v>
      </c>
      <c r="L93" s="15" t="str">
        <f ca="1">$E$18</f>
        <v>Frequent</v>
      </c>
      <c r="M93" s="13">
        <f t="shared" ca="1" si="15"/>
        <v>0</v>
      </c>
      <c r="N93" s="3">
        <f t="shared" ca="1" si="15"/>
        <v>1</v>
      </c>
      <c r="O93">
        <f t="shared" ca="1" si="16"/>
        <v>0</v>
      </c>
      <c r="R93" s="1"/>
    </row>
    <row r="94" spans="7:18" x14ac:dyDescent="0.25">
      <c r="G94" t="str">
        <f t="shared" si="19"/>
        <v>D5-R5</v>
      </c>
      <c r="H94" t="str">
        <f>$A$19</f>
        <v>D15-R15</v>
      </c>
      <c r="I94" s="13" t="str">
        <f t="shared" ca="1" si="17"/>
        <v>AB</v>
      </c>
      <c r="J94" s="13" t="str">
        <f t="shared" ca="1" si="18"/>
        <v>Frequent</v>
      </c>
      <c r="K94" s="17" t="str">
        <f ca="1">$D$19</f>
        <v>B</v>
      </c>
      <c r="L94" s="15" t="str">
        <f ca="1">$E$19</f>
        <v>Frequent</v>
      </c>
      <c r="M94" s="13">
        <f t="shared" ca="1" si="15"/>
        <v>0</v>
      </c>
      <c r="N94" s="3">
        <f t="shared" ca="1" si="15"/>
        <v>1</v>
      </c>
      <c r="O94">
        <f t="shared" ca="1" si="16"/>
        <v>0</v>
      </c>
      <c r="R94" s="1"/>
    </row>
    <row r="95" spans="7:18" x14ac:dyDescent="0.25">
      <c r="G95" t="str">
        <f t="shared" si="19"/>
        <v>D5-R5</v>
      </c>
      <c r="H95" t="str">
        <f>$A$20</f>
        <v>D16-R16</v>
      </c>
      <c r="I95" s="13" t="str">
        <f t="shared" ca="1" si="17"/>
        <v>AB</v>
      </c>
      <c r="J95" s="13" t="str">
        <f t="shared" ca="1" si="18"/>
        <v>Frequent</v>
      </c>
      <c r="K95" s="17" t="str">
        <f ca="1">$D$20</f>
        <v>B</v>
      </c>
      <c r="L95" s="15" t="str">
        <f ca="1">$E$20</f>
        <v>Frequent</v>
      </c>
      <c r="M95" s="13">
        <f t="shared" ca="1" si="15"/>
        <v>0</v>
      </c>
      <c r="N95" s="3">
        <f t="shared" ca="1" si="15"/>
        <v>1</v>
      </c>
      <c r="O95">
        <f t="shared" ca="1" si="16"/>
        <v>0</v>
      </c>
      <c r="R95" s="1"/>
    </row>
    <row r="96" spans="7:18" x14ac:dyDescent="0.25">
      <c r="G96" t="str">
        <f t="shared" si="19"/>
        <v>D5-R5</v>
      </c>
      <c r="H96" t="str">
        <f>$A$21</f>
        <v>D17-R17</v>
      </c>
      <c r="I96" s="13" t="str">
        <f t="shared" ca="1" si="17"/>
        <v>AB</v>
      </c>
      <c r="J96" s="13" t="str">
        <f t="shared" ca="1" si="18"/>
        <v>Frequent</v>
      </c>
      <c r="K96" s="12" t="str">
        <f ca="1">$D$21</f>
        <v>B</v>
      </c>
      <c r="L96" s="11" t="str">
        <f ca="1">$E$21</f>
        <v>Rare</v>
      </c>
      <c r="M96" s="13">
        <f t="shared" ca="1" si="15"/>
        <v>0</v>
      </c>
      <c r="N96" s="3">
        <f t="shared" ca="1" si="15"/>
        <v>0</v>
      </c>
      <c r="O96">
        <f t="shared" ca="1" si="16"/>
        <v>0</v>
      </c>
      <c r="R96" s="1"/>
    </row>
    <row r="97" spans="7:18" x14ac:dyDescent="0.25">
      <c r="G97" t="str">
        <f t="shared" si="19"/>
        <v>D5-R5</v>
      </c>
      <c r="H97" t="str">
        <f>$A$22</f>
        <v>D18-R18</v>
      </c>
      <c r="I97" s="13" t="str">
        <f t="shared" ca="1" si="17"/>
        <v>AB</v>
      </c>
      <c r="J97" s="13" t="str">
        <f t="shared" ca="1" si="18"/>
        <v>Frequent</v>
      </c>
      <c r="K97" s="12" t="str">
        <f ca="1">$D$22</f>
        <v>A</v>
      </c>
      <c r="L97" s="11" t="str">
        <f ca="1">$E$22</f>
        <v>Rare</v>
      </c>
      <c r="M97" s="13">
        <f t="shared" ca="1" si="15"/>
        <v>0</v>
      </c>
      <c r="N97" s="3">
        <f t="shared" ca="1" si="15"/>
        <v>0</v>
      </c>
      <c r="O97">
        <f t="shared" ca="1" si="16"/>
        <v>0</v>
      </c>
      <c r="R97" s="1"/>
    </row>
    <row r="98" spans="7:18" x14ac:dyDescent="0.25">
      <c r="G98" t="str">
        <f t="shared" si="19"/>
        <v>D5-R5</v>
      </c>
      <c r="H98" t="str">
        <f>$A$23</f>
        <v>D19-R19</v>
      </c>
      <c r="I98" s="13" t="str">
        <f t="shared" ca="1" si="17"/>
        <v>AB</v>
      </c>
      <c r="J98" s="13" t="str">
        <f t="shared" ca="1" si="18"/>
        <v>Frequent</v>
      </c>
      <c r="K98" s="12" t="str">
        <f ca="1">$D$23</f>
        <v>B</v>
      </c>
      <c r="L98" s="11" t="str">
        <f ca="1">$E$23</f>
        <v>Rare</v>
      </c>
      <c r="M98" s="13">
        <f t="shared" ca="1" si="15"/>
        <v>0</v>
      </c>
      <c r="N98" s="3">
        <f t="shared" ca="1" si="15"/>
        <v>0</v>
      </c>
      <c r="O98">
        <f t="shared" ca="1" si="16"/>
        <v>0</v>
      </c>
      <c r="R98" s="1"/>
    </row>
    <row r="99" spans="7:18" x14ac:dyDescent="0.25">
      <c r="G99" t="str">
        <f t="shared" si="19"/>
        <v>D5-R5</v>
      </c>
      <c r="H99" t="str">
        <f>$A$24</f>
        <v>D20-R20</v>
      </c>
      <c r="I99" s="13" t="str">
        <f t="shared" ca="1" si="17"/>
        <v>AB</v>
      </c>
      <c r="J99" s="13" t="str">
        <f t="shared" ca="1" si="18"/>
        <v>Frequent</v>
      </c>
      <c r="K99" s="12" t="str">
        <f ca="1">$D$24</f>
        <v>AB</v>
      </c>
      <c r="L99" s="11" t="str">
        <f ca="1">$E$24</f>
        <v>Rare</v>
      </c>
      <c r="M99" s="13">
        <f t="shared" ca="1" si="15"/>
        <v>1</v>
      </c>
      <c r="N99" s="3">
        <f t="shared" ca="1" si="15"/>
        <v>0</v>
      </c>
      <c r="O99">
        <f t="shared" ca="1" si="16"/>
        <v>0</v>
      </c>
      <c r="R99" s="1"/>
    </row>
    <row r="100" spans="7:18" x14ac:dyDescent="0.25">
      <c r="G100" t="str">
        <f>$A$10</f>
        <v>D6-R6</v>
      </c>
      <c r="H100" t="str">
        <f>$A$5</f>
        <v>D1-R1</v>
      </c>
      <c r="I100" s="13" t="str">
        <f ca="1">$B$10</f>
        <v>AB</v>
      </c>
      <c r="J100" s="13" t="str">
        <f ca="1">$C$10</f>
        <v>Rare</v>
      </c>
      <c r="K100" s="16" t="str">
        <f ca="1">$D$5</f>
        <v>O</v>
      </c>
      <c r="L100" s="13" t="str">
        <f ca="1">$E$5</f>
        <v>Rare</v>
      </c>
      <c r="M100" s="13">
        <f t="shared" ca="1" si="15"/>
        <v>0</v>
      </c>
      <c r="N100" s="3">
        <f t="shared" ca="1" si="15"/>
        <v>1</v>
      </c>
      <c r="O100">
        <f t="shared" ca="1" si="16"/>
        <v>0</v>
      </c>
      <c r="R100" s="1"/>
    </row>
    <row r="101" spans="7:18" x14ac:dyDescent="0.25">
      <c r="G101" t="str">
        <f t="shared" ref="G101:G118" si="20">$A$10</f>
        <v>D6-R6</v>
      </c>
      <c r="H101" t="str">
        <f>$A$6</f>
        <v>D2-R2</v>
      </c>
      <c r="I101" s="13" t="str">
        <f t="shared" ref="I101:I118" ca="1" si="21">$B$10</f>
        <v>AB</v>
      </c>
      <c r="J101" s="13" t="str">
        <f t="shared" ref="J101:J118" ca="1" si="22">$C$10</f>
        <v>Rare</v>
      </c>
      <c r="K101" s="16" t="str">
        <f ca="1">$D$6</f>
        <v>AB</v>
      </c>
      <c r="L101" s="13" t="str">
        <f ca="1">$E$6</f>
        <v>Frequent</v>
      </c>
      <c r="M101" s="13">
        <f t="shared" ca="1" si="15"/>
        <v>1</v>
      </c>
      <c r="N101" s="3">
        <f t="shared" ca="1" si="15"/>
        <v>1</v>
      </c>
      <c r="O101">
        <f t="shared" ca="1" si="16"/>
        <v>1</v>
      </c>
      <c r="R101" s="1"/>
    </row>
    <row r="102" spans="7:18" x14ac:dyDescent="0.25">
      <c r="G102" t="str">
        <f t="shared" si="20"/>
        <v>D6-R6</v>
      </c>
      <c r="H102" t="str">
        <f>$A$7</f>
        <v>D3-R3</v>
      </c>
      <c r="I102" s="13" t="str">
        <f t="shared" ca="1" si="21"/>
        <v>AB</v>
      </c>
      <c r="J102" s="13" t="str">
        <f t="shared" ca="1" si="22"/>
        <v>Rare</v>
      </c>
      <c r="K102" s="12" t="str">
        <f ca="1">$D$7</f>
        <v>B</v>
      </c>
      <c r="L102" s="11" t="str">
        <f ca="1">$E$7</f>
        <v>Frequent</v>
      </c>
      <c r="M102" s="13">
        <f t="shared" ca="1" si="15"/>
        <v>0</v>
      </c>
      <c r="N102" s="3">
        <f t="shared" ca="1" si="15"/>
        <v>1</v>
      </c>
      <c r="O102">
        <f t="shared" ca="1" si="16"/>
        <v>0</v>
      </c>
      <c r="R102" s="1"/>
    </row>
    <row r="103" spans="7:18" x14ac:dyDescent="0.25">
      <c r="G103" t="str">
        <f t="shared" si="20"/>
        <v>D6-R6</v>
      </c>
      <c r="H103" t="str">
        <f>$A$8</f>
        <v>D4-R4</v>
      </c>
      <c r="I103" s="13" t="str">
        <f t="shared" ca="1" si="21"/>
        <v>AB</v>
      </c>
      <c r="J103" s="13" t="str">
        <f t="shared" ca="1" si="22"/>
        <v>Rare</v>
      </c>
      <c r="K103" s="17" t="str">
        <f ca="1">$D$8</f>
        <v>A</v>
      </c>
      <c r="L103" s="15" t="str">
        <f ca="1">$E$8</f>
        <v>Frequent</v>
      </c>
      <c r="M103" s="13">
        <f t="shared" ca="1" si="15"/>
        <v>0</v>
      </c>
      <c r="N103" s="3">
        <f t="shared" ca="1" si="15"/>
        <v>1</v>
      </c>
      <c r="O103">
        <f t="shared" ca="1" si="16"/>
        <v>0</v>
      </c>
      <c r="R103" s="1"/>
    </row>
    <row r="104" spans="7:18" x14ac:dyDescent="0.25">
      <c r="G104" t="str">
        <f t="shared" si="20"/>
        <v>D6-R6</v>
      </c>
      <c r="H104" t="str">
        <f>$A$9</f>
        <v>D5-R5</v>
      </c>
      <c r="I104" s="13" t="str">
        <f t="shared" ca="1" si="21"/>
        <v>AB</v>
      </c>
      <c r="J104" s="13" t="str">
        <f t="shared" ca="1" si="22"/>
        <v>Rare</v>
      </c>
      <c r="K104" s="17" t="str">
        <f ca="1">$D$9</f>
        <v>AB</v>
      </c>
      <c r="L104" s="15" t="str">
        <f ca="1">$E$9</f>
        <v>Rare</v>
      </c>
      <c r="M104" s="13">
        <f t="shared" ca="1" si="15"/>
        <v>1</v>
      </c>
      <c r="N104" s="3">
        <f t="shared" ca="1" si="15"/>
        <v>1</v>
      </c>
      <c r="O104">
        <f t="shared" ca="1" si="16"/>
        <v>1</v>
      </c>
      <c r="R104" s="1"/>
    </row>
    <row r="105" spans="7:18" x14ac:dyDescent="0.25">
      <c r="G105" t="str">
        <f t="shared" si="20"/>
        <v>D6-R6</v>
      </c>
      <c r="H105" t="str">
        <f>$A$11</f>
        <v>D7-R7</v>
      </c>
      <c r="I105" s="13" t="str">
        <f t="shared" ca="1" si="21"/>
        <v>AB</v>
      </c>
      <c r="J105" s="13" t="str">
        <f t="shared" ca="1" si="22"/>
        <v>Rare</v>
      </c>
      <c r="K105" s="17" t="str">
        <f ca="1">$D$11</f>
        <v>O</v>
      </c>
      <c r="L105" s="15" t="str">
        <f ca="1">$E$11</f>
        <v>Frequent</v>
      </c>
      <c r="M105" s="13">
        <f t="shared" ca="1" si="15"/>
        <v>0</v>
      </c>
      <c r="N105" s="3">
        <f t="shared" ca="1" si="15"/>
        <v>1</v>
      </c>
      <c r="O105">
        <f t="shared" ca="1" si="16"/>
        <v>0</v>
      </c>
      <c r="R105" s="1"/>
    </row>
    <row r="106" spans="7:18" x14ac:dyDescent="0.25">
      <c r="G106" t="str">
        <f t="shared" si="20"/>
        <v>D6-R6</v>
      </c>
      <c r="H106" t="str">
        <f>$A$12</f>
        <v>D8-R8</v>
      </c>
      <c r="I106" s="13" t="str">
        <f t="shared" ca="1" si="21"/>
        <v>AB</v>
      </c>
      <c r="J106" s="13" t="str">
        <f t="shared" ca="1" si="22"/>
        <v>Rare</v>
      </c>
      <c r="K106" s="17" t="str">
        <f ca="1">$D$12</f>
        <v>B</v>
      </c>
      <c r="L106" s="15" t="str">
        <f ca="1">$E$12</f>
        <v>Rare</v>
      </c>
      <c r="M106" s="13">
        <f t="shared" ca="1" si="15"/>
        <v>0</v>
      </c>
      <c r="N106" s="3">
        <f t="shared" ca="1" si="15"/>
        <v>1</v>
      </c>
      <c r="O106">
        <f t="shared" ca="1" si="16"/>
        <v>0</v>
      </c>
      <c r="R106" s="1"/>
    </row>
    <row r="107" spans="7:18" x14ac:dyDescent="0.25">
      <c r="G107" t="str">
        <f t="shared" si="20"/>
        <v>D6-R6</v>
      </c>
      <c r="H107" t="str">
        <f>$A$13</f>
        <v>D9-R9</v>
      </c>
      <c r="I107" s="13" t="str">
        <f t="shared" ca="1" si="21"/>
        <v>AB</v>
      </c>
      <c r="J107" s="13" t="str">
        <f t="shared" ca="1" si="22"/>
        <v>Rare</v>
      </c>
      <c r="K107" s="17" t="str">
        <f ca="1">$D$13</f>
        <v>A</v>
      </c>
      <c r="L107" s="15" t="str">
        <f ca="1">$E$13</f>
        <v>Frequent</v>
      </c>
      <c r="M107" s="13">
        <f t="shared" ca="1" si="15"/>
        <v>0</v>
      </c>
      <c r="N107" s="3">
        <f t="shared" ca="1" si="15"/>
        <v>1</v>
      </c>
      <c r="O107">
        <f t="shared" ca="1" si="16"/>
        <v>0</v>
      </c>
      <c r="R107" s="1"/>
    </row>
    <row r="108" spans="7:18" x14ac:dyDescent="0.25">
      <c r="G108" t="str">
        <f t="shared" si="20"/>
        <v>D6-R6</v>
      </c>
      <c r="H108" t="str">
        <f>$A$14</f>
        <v>D10-R10</v>
      </c>
      <c r="I108" s="13" t="str">
        <f t="shared" ca="1" si="21"/>
        <v>AB</v>
      </c>
      <c r="J108" s="13" t="str">
        <f t="shared" ca="1" si="22"/>
        <v>Rare</v>
      </c>
      <c r="K108" s="12" t="str">
        <f ca="1">$D$14</f>
        <v>A</v>
      </c>
      <c r="L108" s="11" t="str">
        <f ca="1">$E$14</f>
        <v>Frequent</v>
      </c>
      <c r="M108" s="13">
        <f t="shared" ca="1" si="15"/>
        <v>0</v>
      </c>
      <c r="N108" s="3">
        <f t="shared" ca="1" si="15"/>
        <v>1</v>
      </c>
      <c r="O108">
        <f t="shared" ca="1" si="16"/>
        <v>0</v>
      </c>
      <c r="R108" s="1"/>
    </row>
    <row r="109" spans="7:18" x14ac:dyDescent="0.25">
      <c r="G109" t="str">
        <f t="shared" si="20"/>
        <v>D6-R6</v>
      </c>
      <c r="H109" t="str">
        <f>$A$15</f>
        <v>D11-R11</v>
      </c>
      <c r="I109" s="13" t="str">
        <f t="shared" ca="1" si="21"/>
        <v>AB</v>
      </c>
      <c r="J109" s="13" t="str">
        <f t="shared" ca="1" si="22"/>
        <v>Rare</v>
      </c>
      <c r="K109" s="17" t="str">
        <f ca="1">$D$15</f>
        <v>AB</v>
      </c>
      <c r="L109" s="15" t="str">
        <f ca="1">$E$15</f>
        <v>Frequent</v>
      </c>
      <c r="M109" s="13">
        <f t="shared" ca="1" si="15"/>
        <v>1</v>
      </c>
      <c r="N109" s="3">
        <f t="shared" ca="1" si="15"/>
        <v>1</v>
      </c>
      <c r="O109">
        <f t="shared" ca="1" si="16"/>
        <v>1</v>
      </c>
      <c r="R109" s="1"/>
    </row>
    <row r="110" spans="7:18" x14ac:dyDescent="0.25">
      <c r="G110" t="str">
        <f t="shared" si="20"/>
        <v>D6-R6</v>
      </c>
      <c r="H110" t="str">
        <f>$A$16</f>
        <v>D12-R12</v>
      </c>
      <c r="I110" s="13" t="str">
        <f t="shared" ca="1" si="21"/>
        <v>AB</v>
      </c>
      <c r="J110" s="13" t="str">
        <f t="shared" ca="1" si="22"/>
        <v>Rare</v>
      </c>
      <c r="K110" s="17" t="str">
        <f ca="1">$D$16</f>
        <v>B</v>
      </c>
      <c r="L110" s="15" t="str">
        <f ca="1">$E$16</f>
        <v>Rare</v>
      </c>
      <c r="M110" s="13">
        <f t="shared" ca="1" si="15"/>
        <v>0</v>
      </c>
      <c r="N110" s="3">
        <f t="shared" ca="1" si="15"/>
        <v>1</v>
      </c>
      <c r="O110">
        <f t="shared" ca="1" si="16"/>
        <v>0</v>
      </c>
      <c r="R110" s="1"/>
    </row>
    <row r="111" spans="7:18" x14ac:dyDescent="0.25">
      <c r="G111" t="str">
        <f t="shared" si="20"/>
        <v>D6-R6</v>
      </c>
      <c r="H111" t="str">
        <f>$A$17</f>
        <v>D13-R13</v>
      </c>
      <c r="I111" s="13" t="str">
        <f t="shared" ca="1" si="21"/>
        <v>AB</v>
      </c>
      <c r="J111" s="13" t="str">
        <f t="shared" ca="1" si="22"/>
        <v>Rare</v>
      </c>
      <c r="K111" s="17" t="str">
        <f ca="1">$D$17</f>
        <v>AB</v>
      </c>
      <c r="L111" s="15" t="str">
        <f ca="1">$E$17</f>
        <v>Frequent</v>
      </c>
      <c r="M111" s="13">
        <f t="shared" ca="1" si="15"/>
        <v>1</v>
      </c>
      <c r="N111" s="3">
        <f t="shared" ca="1" si="15"/>
        <v>1</v>
      </c>
      <c r="O111">
        <f t="shared" ca="1" si="16"/>
        <v>1</v>
      </c>
      <c r="R111" s="1"/>
    </row>
    <row r="112" spans="7:18" x14ac:dyDescent="0.25">
      <c r="G112" t="str">
        <f t="shared" si="20"/>
        <v>D6-R6</v>
      </c>
      <c r="H112" t="str">
        <f>$A$18</f>
        <v>D14-R14</v>
      </c>
      <c r="I112" s="13" t="str">
        <f t="shared" ca="1" si="21"/>
        <v>AB</v>
      </c>
      <c r="J112" s="13" t="str">
        <f t="shared" ca="1" si="22"/>
        <v>Rare</v>
      </c>
      <c r="K112" s="17" t="str">
        <f ca="1">$D$18</f>
        <v>B</v>
      </c>
      <c r="L112" s="15" t="str">
        <f ca="1">$E$18</f>
        <v>Frequent</v>
      </c>
      <c r="M112" s="13">
        <f t="shared" ca="1" si="15"/>
        <v>0</v>
      </c>
      <c r="N112" s="3">
        <f t="shared" ca="1" si="15"/>
        <v>1</v>
      </c>
      <c r="O112">
        <f t="shared" ca="1" si="16"/>
        <v>0</v>
      </c>
      <c r="R112" s="1"/>
    </row>
    <row r="113" spans="7:18" x14ac:dyDescent="0.25">
      <c r="G113" t="str">
        <f t="shared" si="20"/>
        <v>D6-R6</v>
      </c>
      <c r="H113" t="str">
        <f>$A$19</f>
        <v>D15-R15</v>
      </c>
      <c r="I113" s="13" t="str">
        <f t="shared" ca="1" si="21"/>
        <v>AB</v>
      </c>
      <c r="J113" s="13" t="str">
        <f t="shared" ca="1" si="22"/>
        <v>Rare</v>
      </c>
      <c r="K113" s="17" t="str">
        <f ca="1">$D$19</f>
        <v>B</v>
      </c>
      <c r="L113" s="15" t="str">
        <f ca="1">$E$19</f>
        <v>Frequent</v>
      </c>
      <c r="M113" s="13">
        <f t="shared" ca="1" si="15"/>
        <v>0</v>
      </c>
      <c r="N113" s="3">
        <f t="shared" ca="1" si="15"/>
        <v>1</v>
      </c>
      <c r="O113">
        <f t="shared" ca="1" si="16"/>
        <v>0</v>
      </c>
      <c r="R113" s="1"/>
    </row>
    <row r="114" spans="7:18" x14ac:dyDescent="0.25">
      <c r="G114" t="str">
        <f t="shared" si="20"/>
        <v>D6-R6</v>
      </c>
      <c r="H114" t="str">
        <f>$A$20</f>
        <v>D16-R16</v>
      </c>
      <c r="I114" s="13" t="str">
        <f t="shared" ca="1" si="21"/>
        <v>AB</v>
      </c>
      <c r="J114" s="13" t="str">
        <f t="shared" ca="1" si="22"/>
        <v>Rare</v>
      </c>
      <c r="K114" s="17" t="str">
        <f ca="1">$D$20</f>
        <v>B</v>
      </c>
      <c r="L114" s="15" t="str">
        <f ca="1">$E$20</f>
        <v>Frequent</v>
      </c>
      <c r="M114" s="13">
        <f t="shared" ca="1" si="15"/>
        <v>0</v>
      </c>
      <c r="N114" s="3">
        <f t="shared" ca="1" si="15"/>
        <v>1</v>
      </c>
      <c r="O114">
        <f t="shared" ca="1" si="16"/>
        <v>0</v>
      </c>
      <c r="R114" s="1"/>
    </row>
    <row r="115" spans="7:18" x14ac:dyDescent="0.25">
      <c r="G115" t="str">
        <f t="shared" si="20"/>
        <v>D6-R6</v>
      </c>
      <c r="H115" t="str">
        <f>$A$21</f>
        <v>D17-R17</v>
      </c>
      <c r="I115" s="13" t="str">
        <f t="shared" ca="1" si="21"/>
        <v>AB</v>
      </c>
      <c r="J115" s="13" t="str">
        <f t="shared" ca="1" si="22"/>
        <v>Rare</v>
      </c>
      <c r="K115" s="12" t="str">
        <f ca="1">$D$21</f>
        <v>B</v>
      </c>
      <c r="L115" s="11" t="str">
        <f ca="1">$E$21</f>
        <v>Rare</v>
      </c>
      <c r="M115" s="13">
        <f t="shared" ca="1" si="15"/>
        <v>0</v>
      </c>
      <c r="N115" s="3">
        <f t="shared" ca="1" si="15"/>
        <v>1</v>
      </c>
      <c r="O115">
        <f t="shared" ca="1" si="16"/>
        <v>0</v>
      </c>
      <c r="R115" s="1"/>
    </row>
    <row r="116" spans="7:18" x14ac:dyDescent="0.25">
      <c r="G116" t="str">
        <f t="shared" si="20"/>
        <v>D6-R6</v>
      </c>
      <c r="H116" t="str">
        <f>$A$22</f>
        <v>D18-R18</v>
      </c>
      <c r="I116" s="13" t="str">
        <f t="shared" ca="1" si="21"/>
        <v>AB</v>
      </c>
      <c r="J116" s="13" t="str">
        <f t="shared" ca="1" si="22"/>
        <v>Rare</v>
      </c>
      <c r="K116" s="12" t="str">
        <f ca="1">$D$22</f>
        <v>A</v>
      </c>
      <c r="L116" s="11" t="str">
        <f ca="1">$E$22</f>
        <v>Rare</v>
      </c>
      <c r="M116" s="13">
        <f t="shared" ca="1" si="15"/>
        <v>0</v>
      </c>
      <c r="N116" s="3">
        <f t="shared" ca="1" si="15"/>
        <v>1</v>
      </c>
      <c r="O116">
        <f t="shared" ca="1" si="16"/>
        <v>0</v>
      </c>
      <c r="R116" s="1"/>
    </row>
    <row r="117" spans="7:18" x14ac:dyDescent="0.25">
      <c r="G117" t="str">
        <f t="shared" si="20"/>
        <v>D6-R6</v>
      </c>
      <c r="H117" t="str">
        <f>$A$23</f>
        <v>D19-R19</v>
      </c>
      <c r="I117" s="13" t="str">
        <f t="shared" ca="1" si="21"/>
        <v>AB</v>
      </c>
      <c r="J117" s="13" t="str">
        <f t="shared" ca="1" si="22"/>
        <v>Rare</v>
      </c>
      <c r="K117" s="12" t="str">
        <f ca="1">$D$23</f>
        <v>B</v>
      </c>
      <c r="L117" s="11" t="str">
        <f ca="1">$E$23</f>
        <v>Rare</v>
      </c>
      <c r="M117" s="13">
        <f t="shared" ca="1" si="15"/>
        <v>0</v>
      </c>
      <c r="N117" s="3">
        <f t="shared" ca="1" si="15"/>
        <v>1</v>
      </c>
      <c r="O117">
        <f t="shared" ca="1" si="16"/>
        <v>0</v>
      </c>
      <c r="R117" s="1"/>
    </row>
    <row r="118" spans="7:18" x14ac:dyDescent="0.25">
      <c r="G118" t="str">
        <f t="shared" si="20"/>
        <v>D6-R6</v>
      </c>
      <c r="H118" t="str">
        <f>$A$24</f>
        <v>D20-R20</v>
      </c>
      <c r="I118" s="13" t="str">
        <f t="shared" ca="1" si="21"/>
        <v>AB</v>
      </c>
      <c r="J118" s="13" t="str">
        <f t="shared" ca="1" si="22"/>
        <v>Rare</v>
      </c>
      <c r="K118" s="12" t="str">
        <f ca="1">$D$24</f>
        <v>AB</v>
      </c>
      <c r="L118" s="11" t="str">
        <f ca="1">$E$24</f>
        <v>Rare</v>
      </c>
      <c r="M118" s="13">
        <f t="shared" ca="1" si="15"/>
        <v>1</v>
      </c>
      <c r="N118" s="3">
        <f t="shared" ca="1" si="15"/>
        <v>1</v>
      </c>
      <c r="O118">
        <f t="shared" ca="1" si="16"/>
        <v>1</v>
      </c>
      <c r="R118" s="1"/>
    </row>
    <row r="119" spans="7:18" x14ac:dyDescent="0.25">
      <c r="G119" t="str">
        <f>$A$11</f>
        <v>D7-R7</v>
      </c>
      <c r="H119" t="str">
        <f>$A$5</f>
        <v>D1-R1</v>
      </c>
      <c r="I119" s="13" t="str">
        <f ca="1">$B$11</f>
        <v>O</v>
      </c>
      <c r="J119" s="13" t="str">
        <f ca="1">$C$11</f>
        <v>Rare</v>
      </c>
      <c r="K119" s="16" t="str">
        <f ca="1">$D$5</f>
        <v>O</v>
      </c>
      <c r="L119" s="13" t="str">
        <f ca="1">$E$5</f>
        <v>Rare</v>
      </c>
      <c r="M119" s="13">
        <f t="shared" ca="1" si="15"/>
        <v>1</v>
      </c>
      <c r="N119" s="3">
        <f t="shared" ca="1" si="15"/>
        <v>1</v>
      </c>
      <c r="O119">
        <f t="shared" ca="1" si="16"/>
        <v>1</v>
      </c>
      <c r="R119" s="1"/>
    </row>
    <row r="120" spans="7:18" x14ac:dyDescent="0.25">
      <c r="G120" t="str">
        <f t="shared" ref="G120:G137" si="23">$A$11</f>
        <v>D7-R7</v>
      </c>
      <c r="H120" t="str">
        <f>$A$6</f>
        <v>D2-R2</v>
      </c>
      <c r="I120" s="13" t="str">
        <f t="shared" ref="I120:I137" ca="1" si="24">$B$11</f>
        <v>O</v>
      </c>
      <c r="J120" s="13" t="str">
        <f t="shared" ref="J120:J137" ca="1" si="25">$C$11</f>
        <v>Rare</v>
      </c>
      <c r="K120" s="16" t="str">
        <f ca="1">$D$6</f>
        <v>AB</v>
      </c>
      <c r="L120" s="13" t="str">
        <f ca="1">$E$6</f>
        <v>Frequent</v>
      </c>
      <c r="M120" s="13">
        <f t="shared" ca="1" si="15"/>
        <v>1</v>
      </c>
      <c r="N120" s="3">
        <f t="shared" ca="1" si="15"/>
        <v>1</v>
      </c>
      <c r="O120">
        <f t="shared" ca="1" si="16"/>
        <v>1</v>
      </c>
      <c r="R120" s="1"/>
    </row>
    <row r="121" spans="7:18" x14ac:dyDescent="0.25">
      <c r="G121" t="str">
        <f t="shared" si="23"/>
        <v>D7-R7</v>
      </c>
      <c r="H121" t="str">
        <f>$A$7</f>
        <v>D3-R3</v>
      </c>
      <c r="I121" s="13" t="str">
        <f t="shared" ca="1" si="24"/>
        <v>O</v>
      </c>
      <c r="J121" s="13" t="str">
        <f t="shared" ca="1" si="25"/>
        <v>Rare</v>
      </c>
      <c r="K121" s="12" t="str">
        <f ca="1">$D$7</f>
        <v>B</v>
      </c>
      <c r="L121" s="11" t="str">
        <f ca="1">$E$7</f>
        <v>Frequent</v>
      </c>
      <c r="M121" s="13">
        <f t="shared" ca="1" si="15"/>
        <v>1</v>
      </c>
      <c r="N121" s="3">
        <f t="shared" ca="1" si="15"/>
        <v>1</v>
      </c>
      <c r="O121">
        <f t="shared" ca="1" si="16"/>
        <v>1</v>
      </c>
      <c r="R121" s="1"/>
    </row>
    <row r="122" spans="7:18" x14ac:dyDescent="0.25">
      <c r="G122" t="str">
        <f t="shared" si="23"/>
        <v>D7-R7</v>
      </c>
      <c r="H122" t="str">
        <f>$A$8</f>
        <v>D4-R4</v>
      </c>
      <c r="I122" s="13" t="str">
        <f t="shared" ca="1" si="24"/>
        <v>O</v>
      </c>
      <c r="J122" s="13" t="str">
        <f t="shared" ca="1" si="25"/>
        <v>Rare</v>
      </c>
      <c r="K122" s="17" t="str">
        <f ca="1">$D$8</f>
        <v>A</v>
      </c>
      <c r="L122" s="15" t="str">
        <f ca="1">$E$8</f>
        <v>Frequent</v>
      </c>
      <c r="M122" s="13">
        <f t="shared" ca="1" si="15"/>
        <v>1</v>
      </c>
      <c r="N122" s="3">
        <f t="shared" ca="1" si="15"/>
        <v>1</v>
      </c>
      <c r="O122">
        <f t="shared" ca="1" si="16"/>
        <v>1</v>
      </c>
      <c r="R122" s="1"/>
    </row>
    <row r="123" spans="7:18" x14ac:dyDescent="0.25">
      <c r="G123" t="str">
        <f t="shared" si="23"/>
        <v>D7-R7</v>
      </c>
      <c r="H123" t="str">
        <f>$A$9</f>
        <v>D5-R5</v>
      </c>
      <c r="I123" s="13" t="str">
        <f t="shared" ca="1" si="24"/>
        <v>O</v>
      </c>
      <c r="J123" s="13" t="str">
        <f t="shared" ca="1" si="25"/>
        <v>Rare</v>
      </c>
      <c r="K123" s="17" t="str">
        <f ca="1">$D$9</f>
        <v>AB</v>
      </c>
      <c r="L123" s="15" t="str">
        <f ca="1">$E$9</f>
        <v>Rare</v>
      </c>
      <c r="M123" s="13">
        <f t="shared" ca="1" si="15"/>
        <v>1</v>
      </c>
      <c r="N123" s="3">
        <f t="shared" ca="1" si="15"/>
        <v>1</v>
      </c>
      <c r="O123">
        <f t="shared" ca="1" si="16"/>
        <v>1</v>
      </c>
      <c r="R123" s="1"/>
    </row>
    <row r="124" spans="7:18" x14ac:dyDescent="0.25">
      <c r="G124" t="str">
        <f t="shared" si="23"/>
        <v>D7-R7</v>
      </c>
      <c r="H124" t="str">
        <f>$A$10</f>
        <v>D6-R6</v>
      </c>
      <c r="I124" s="13" t="str">
        <f t="shared" ca="1" si="24"/>
        <v>O</v>
      </c>
      <c r="J124" s="13" t="str">
        <f t="shared" ca="1" si="25"/>
        <v>Rare</v>
      </c>
      <c r="K124" s="17" t="str">
        <f ca="1">$D$10</f>
        <v>AB</v>
      </c>
      <c r="L124" s="15" t="str">
        <f ca="1">$E$10</f>
        <v>Frequent</v>
      </c>
      <c r="M124" s="13">
        <f t="shared" ca="1" si="15"/>
        <v>1</v>
      </c>
      <c r="N124" s="3">
        <f t="shared" ca="1" si="15"/>
        <v>1</v>
      </c>
      <c r="O124">
        <f t="shared" ca="1" si="16"/>
        <v>1</v>
      </c>
      <c r="R124" s="1"/>
    </row>
    <row r="125" spans="7:18" x14ac:dyDescent="0.25">
      <c r="G125" t="str">
        <f t="shared" si="23"/>
        <v>D7-R7</v>
      </c>
      <c r="H125" t="str">
        <f>$A$12</f>
        <v>D8-R8</v>
      </c>
      <c r="I125" s="13" t="str">
        <f t="shared" ca="1" si="24"/>
        <v>O</v>
      </c>
      <c r="J125" s="13" t="str">
        <f t="shared" ca="1" si="25"/>
        <v>Rare</v>
      </c>
      <c r="K125" s="17" t="str">
        <f ca="1">$D$12</f>
        <v>B</v>
      </c>
      <c r="L125" s="15" t="str">
        <f ca="1">$E$12</f>
        <v>Rare</v>
      </c>
      <c r="M125" s="13">
        <f t="shared" ca="1" si="15"/>
        <v>1</v>
      </c>
      <c r="N125" s="3">
        <f t="shared" ca="1" si="15"/>
        <v>1</v>
      </c>
      <c r="O125">
        <f t="shared" ca="1" si="16"/>
        <v>1</v>
      </c>
      <c r="R125" s="1"/>
    </row>
    <row r="126" spans="7:18" x14ac:dyDescent="0.25">
      <c r="G126" t="str">
        <f t="shared" si="23"/>
        <v>D7-R7</v>
      </c>
      <c r="H126" t="str">
        <f>$A$13</f>
        <v>D9-R9</v>
      </c>
      <c r="I126" s="13" t="str">
        <f t="shared" ca="1" si="24"/>
        <v>O</v>
      </c>
      <c r="J126" s="13" t="str">
        <f t="shared" ca="1" si="25"/>
        <v>Rare</v>
      </c>
      <c r="K126" s="17" t="str">
        <f ca="1">$D$13</f>
        <v>A</v>
      </c>
      <c r="L126" s="15" t="str">
        <f ca="1">$E$13</f>
        <v>Frequent</v>
      </c>
      <c r="M126" s="13">
        <f t="shared" ca="1" si="15"/>
        <v>1</v>
      </c>
      <c r="N126" s="3">
        <f t="shared" ca="1" si="15"/>
        <v>1</v>
      </c>
      <c r="O126">
        <f t="shared" ca="1" si="16"/>
        <v>1</v>
      </c>
      <c r="R126" s="1"/>
    </row>
    <row r="127" spans="7:18" x14ac:dyDescent="0.25">
      <c r="G127" t="str">
        <f t="shared" si="23"/>
        <v>D7-R7</v>
      </c>
      <c r="H127" t="str">
        <f>$A$14</f>
        <v>D10-R10</v>
      </c>
      <c r="I127" s="13" t="str">
        <f t="shared" ca="1" si="24"/>
        <v>O</v>
      </c>
      <c r="J127" s="13" t="str">
        <f t="shared" ca="1" si="25"/>
        <v>Rare</v>
      </c>
      <c r="K127" s="12" t="str">
        <f ca="1">$D$14</f>
        <v>A</v>
      </c>
      <c r="L127" s="11" t="str">
        <f ca="1">$E$14</f>
        <v>Frequent</v>
      </c>
      <c r="M127" s="13">
        <f t="shared" ca="1" si="15"/>
        <v>1</v>
      </c>
      <c r="N127" s="3">
        <f t="shared" ca="1" si="15"/>
        <v>1</v>
      </c>
      <c r="O127">
        <f t="shared" ca="1" si="16"/>
        <v>1</v>
      </c>
      <c r="R127" s="1"/>
    </row>
    <row r="128" spans="7:18" x14ac:dyDescent="0.25">
      <c r="G128" t="str">
        <f t="shared" si="23"/>
        <v>D7-R7</v>
      </c>
      <c r="H128" t="str">
        <f>$A$15</f>
        <v>D11-R11</v>
      </c>
      <c r="I128" s="13" t="str">
        <f t="shared" ca="1" si="24"/>
        <v>O</v>
      </c>
      <c r="J128" s="13" t="str">
        <f t="shared" ca="1" si="25"/>
        <v>Rare</v>
      </c>
      <c r="K128" s="17" t="str">
        <f ca="1">$D$15</f>
        <v>AB</v>
      </c>
      <c r="L128" s="15" t="str">
        <f ca="1">$E$15</f>
        <v>Frequent</v>
      </c>
      <c r="M128" s="13">
        <f t="shared" ca="1" si="15"/>
        <v>1</v>
      </c>
      <c r="N128" s="3">
        <f t="shared" ca="1" si="15"/>
        <v>1</v>
      </c>
      <c r="O128">
        <f t="shared" ca="1" si="16"/>
        <v>1</v>
      </c>
      <c r="R128" s="1"/>
    </row>
    <row r="129" spans="7:18" x14ac:dyDescent="0.25">
      <c r="G129" t="str">
        <f t="shared" si="23"/>
        <v>D7-R7</v>
      </c>
      <c r="H129" t="str">
        <f>$A$16</f>
        <v>D12-R12</v>
      </c>
      <c r="I129" s="13" t="str">
        <f t="shared" ca="1" si="24"/>
        <v>O</v>
      </c>
      <c r="J129" s="13" t="str">
        <f t="shared" ca="1" si="25"/>
        <v>Rare</v>
      </c>
      <c r="K129" s="17" t="str">
        <f ca="1">$D$16</f>
        <v>B</v>
      </c>
      <c r="L129" s="15" t="str">
        <f ca="1">$E$16</f>
        <v>Rare</v>
      </c>
      <c r="M129" s="13">
        <f t="shared" ca="1" si="15"/>
        <v>1</v>
      </c>
      <c r="N129" s="3">
        <f t="shared" ca="1" si="15"/>
        <v>1</v>
      </c>
      <c r="O129">
        <f t="shared" ca="1" si="16"/>
        <v>1</v>
      </c>
      <c r="R129" s="1"/>
    </row>
    <row r="130" spans="7:18" x14ac:dyDescent="0.25">
      <c r="G130" t="str">
        <f t="shared" si="23"/>
        <v>D7-R7</v>
      </c>
      <c r="H130" t="str">
        <f>$A$17</f>
        <v>D13-R13</v>
      </c>
      <c r="I130" s="13" t="str">
        <f t="shared" ca="1" si="24"/>
        <v>O</v>
      </c>
      <c r="J130" s="13" t="str">
        <f t="shared" ca="1" si="25"/>
        <v>Rare</v>
      </c>
      <c r="K130" s="17" t="str">
        <f ca="1">$D$17</f>
        <v>AB</v>
      </c>
      <c r="L130" s="15" t="str">
        <f ca="1">$E$17</f>
        <v>Frequent</v>
      </c>
      <c r="M130" s="13">
        <f t="shared" ca="1" si="15"/>
        <v>1</v>
      </c>
      <c r="N130" s="3">
        <f t="shared" ca="1" si="15"/>
        <v>1</v>
      </c>
      <c r="O130">
        <f t="shared" ca="1" si="16"/>
        <v>1</v>
      </c>
      <c r="R130" s="1"/>
    </row>
    <row r="131" spans="7:18" x14ac:dyDescent="0.25">
      <c r="G131" t="str">
        <f t="shared" si="23"/>
        <v>D7-R7</v>
      </c>
      <c r="H131" t="str">
        <f>$A$18</f>
        <v>D14-R14</v>
      </c>
      <c r="I131" s="13" t="str">
        <f t="shared" ca="1" si="24"/>
        <v>O</v>
      </c>
      <c r="J131" s="13" t="str">
        <f t="shared" ca="1" si="25"/>
        <v>Rare</v>
      </c>
      <c r="K131" s="17" t="str">
        <f ca="1">$D$18</f>
        <v>B</v>
      </c>
      <c r="L131" s="15" t="str">
        <f ca="1">$E$18</f>
        <v>Frequent</v>
      </c>
      <c r="M131" s="13">
        <f t="shared" ca="1" si="15"/>
        <v>1</v>
      </c>
      <c r="N131" s="3">
        <f t="shared" ca="1" si="15"/>
        <v>1</v>
      </c>
      <c r="O131">
        <f t="shared" ca="1" si="16"/>
        <v>1</v>
      </c>
      <c r="R131" s="1"/>
    </row>
    <row r="132" spans="7:18" x14ac:dyDescent="0.25">
      <c r="G132" t="str">
        <f t="shared" si="23"/>
        <v>D7-R7</v>
      </c>
      <c r="H132" t="str">
        <f>$A$19</f>
        <v>D15-R15</v>
      </c>
      <c r="I132" s="13" t="str">
        <f t="shared" ca="1" si="24"/>
        <v>O</v>
      </c>
      <c r="J132" s="13" t="str">
        <f t="shared" ca="1" si="25"/>
        <v>Rare</v>
      </c>
      <c r="K132" s="17" t="str">
        <f ca="1">$D$19</f>
        <v>B</v>
      </c>
      <c r="L132" s="15" t="str">
        <f ca="1">$E$19</f>
        <v>Frequent</v>
      </c>
      <c r="M132" s="13">
        <f t="shared" ca="1" si="15"/>
        <v>1</v>
      </c>
      <c r="N132" s="3">
        <f t="shared" ca="1" si="15"/>
        <v>1</v>
      </c>
      <c r="O132">
        <f t="shared" ca="1" si="16"/>
        <v>1</v>
      </c>
      <c r="R132" s="1"/>
    </row>
    <row r="133" spans="7:18" x14ac:dyDescent="0.25">
      <c r="G133" t="str">
        <f t="shared" si="23"/>
        <v>D7-R7</v>
      </c>
      <c r="H133" t="str">
        <f>$A$20</f>
        <v>D16-R16</v>
      </c>
      <c r="I133" s="13" t="str">
        <f t="shared" ca="1" si="24"/>
        <v>O</v>
      </c>
      <c r="J133" s="13" t="str">
        <f t="shared" ca="1" si="25"/>
        <v>Rare</v>
      </c>
      <c r="K133" s="17" t="str">
        <f ca="1">$D$20</f>
        <v>B</v>
      </c>
      <c r="L133" s="15" t="str">
        <f ca="1">$E$20</f>
        <v>Frequent</v>
      </c>
      <c r="M133" s="13">
        <f t="shared" ca="1" si="15"/>
        <v>1</v>
      </c>
      <c r="N133" s="3">
        <f t="shared" ca="1" si="15"/>
        <v>1</v>
      </c>
      <c r="O133">
        <f t="shared" ca="1" si="16"/>
        <v>1</v>
      </c>
      <c r="R133" s="1"/>
    </row>
    <row r="134" spans="7:18" x14ac:dyDescent="0.25">
      <c r="G134" t="str">
        <f t="shared" si="23"/>
        <v>D7-R7</v>
      </c>
      <c r="H134" t="str">
        <f>$A$21</f>
        <v>D17-R17</v>
      </c>
      <c r="I134" s="13" t="str">
        <f t="shared" ca="1" si="24"/>
        <v>O</v>
      </c>
      <c r="J134" s="13" t="str">
        <f t="shared" ca="1" si="25"/>
        <v>Rare</v>
      </c>
      <c r="K134" s="12" t="str">
        <f ca="1">$D$21</f>
        <v>B</v>
      </c>
      <c r="L134" s="11" t="str">
        <f ca="1">$E$21</f>
        <v>Rare</v>
      </c>
      <c r="M134" s="13">
        <f t="shared" ref="M134:N197" ca="1" si="26">checkFeasibility(I134,K134)</f>
        <v>1</v>
      </c>
      <c r="N134" s="3">
        <f t="shared" ca="1" si="26"/>
        <v>1</v>
      </c>
      <c r="O134">
        <f t="shared" ref="O134:O197" ca="1" si="27">IF(SUM(M134,N134)=2,1,0)</f>
        <v>1</v>
      </c>
      <c r="R134" s="1"/>
    </row>
    <row r="135" spans="7:18" x14ac:dyDescent="0.25">
      <c r="G135" t="str">
        <f t="shared" si="23"/>
        <v>D7-R7</v>
      </c>
      <c r="H135" t="str">
        <f>$A$22</f>
        <v>D18-R18</v>
      </c>
      <c r="I135" s="13" t="str">
        <f t="shared" ca="1" si="24"/>
        <v>O</v>
      </c>
      <c r="J135" s="13" t="str">
        <f t="shared" ca="1" si="25"/>
        <v>Rare</v>
      </c>
      <c r="K135" s="12" t="str">
        <f ca="1">$D$22</f>
        <v>A</v>
      </c>
      <c r="L135" s="11" t="str">
        <f ca="1">$E$22</f>
        <v>Rare</v>
      </c>
      <c r="M135" s="13">
        <f t="shared" ca="1" si="26"/>
        <v>1</v>
      </c>
      <c r="N135" s="3">
        <f t="shared" ca="1" si="26"/>
        <v>1</v>
      </c>
      <c r="O135">
        <f t="shared" ca="1" si="27"/>
        <v>1</v>
      </c>
      <c r="R135" s="1"/>
    </row>
    <row r="136" spans="7:18" x14ac:dyDescent="0.25">
      <c r="G136" t="str">
        <f t="shared" si="23"/>
        <v>D7-R7</v>
      </c>
      <c r="H136" t="str">
        <f>$A$23</f>
        <v>D19-R19</v>
      </c>
      <c r="I136" s="13" t="str">
        <f t="shared" ca="1" si="24"/>
        <v>O</v>
      </c>
      <c r="J136" s="13" t="str">
        <f t="shared" ca="1" si="25"/>
        <v>Rare</v>
      </c>
      <c r="K136" s="12" t="str">
        <f ca="1">$D$23</f>
        <v>B</v>
      </c>
      <c r="L136" s="11" t="str">
        <f ca="1">$E$23</f>
        <v>Rare</v>
      </c>
      <c r="M136" s="13">
        <f t="shared" ca="1" si="26"/>
        <v>1</v>
      </c>
      <c r="N136" s="3">
        <f t="shared" ca="1" si="26"/>
        <v>1</v>
      </c>
      <c r="O136">
        <f t="shared" ca="1" si="27"/>
        <v>1</v>
      </c>
      <c r="R136" s="1"/>
    </row>
    <row r="137" spans="7:18" x14ac:dyDescent="0.25">
      <c r="G137" t="str">
        <f t="shared" si="23"/>
        <v>D7-R7</v>
      </c>
      <c r="H137" t="str">
        <f>$A$24</f>
        <v>D20-R20</v>
      </c>
      <c r="I137" s="13" t="str">
        <f t="shared" ca="1" si="24"/>
        <v>O</v>
      </c>
      <c r="J137" s="13" t="str">
        <f t="shared" ca="1" si="25"/>
        <v>Rare</v>
      </c>
      <c r="K137" s="12" t="str">
        <f ca="1">$D$24</f>
        <v>AB</v>
      </c>
      <c r="L137" s="11" t="str">
        <f ca="1">$E$24</f>
        <v>Rare</v>
      </c>
      <c r="M137" s="13">
        <f t="shared" ca="1" si="26"/>
        <v>1</v>
      </c>
      <c r="N137" s="3">
        <f t="shared" ca="1" si="26"/>
        <v>1</v>
      </c>
      <c r="O137">
        <f t="shared" ca="1" si="27"/>
        <v>1</v>
      </c>
      <c r="R137" s="1"/>
    </row>
    <row r="138" spans="7:18" x14ac:dyDescent="0.25">
      <c r="G138" t="str">
        <f>$A$12</f>
        <v>D8-R8</v>
      </c>
      <c r="H138" t="str">
        <f>$A$5</f>
        <v>D1-R1</v>
      </c>
      <c r="I138" s="13" t="str">
        <f ca="1">$B$12</f>
        <v>B</v>
      </c>
      <c r="J138" s="13" t="str">
        <f ca="1">$C$12</f>
        <v>Rare</v>
      </c>
      <c r="K138" s="16" t="str">
        <f ca="1">$D$5</f>
        <v>O</v>
      </c>
      <c r="L138" s="13" t="str">
        <f ca="1">$E$5</f>
        <v>Rare</v>
      </c>
      <c r="M138" s="13">
        <f t="shared" ca="1" si="26"/>
        <v>0</v>
      </c>
      <c r="N138" s="3">
        <f t="shared" ca="1" si="26"/>
        <v>1</v>
      </c>
      <c r="O138">
        <f t="shared" ca="1" si="27"/>
        <v>0</v>
      </c>
      <c r="R138" s="1"/>
    </row>
    <row r="139" spans="7:18" x14ac:dyDescent="0.25">
      <c r="G139" t="str">
        <f t="shared" ref="G139:G156" si="28">$A$12</f>
        <v>D8-R8</v>
      </c>
      <c r="H139" t="str">
        <f>$A$6</f>
        <v>D2-R2</v>
      </c>
      <c r="I139" s="13" t="str">
        <f t="shared" ref="I139:I156" ca="1" si="29">$B$12</f>
        <v>B</v>
      </c>
      <c r="J139" s="13" t="str">
        <f t="shared" ref="J139:J156" ca="1" si="30">$C$12</f>
        <v>Rare</v>
      </c>
      <c r="K139" s="16" t="str">
        <f ca="1">$D$6</f>
        <v>AB</v>
      </c>
      <c r="L139" s="13" t="str">
        <f ca="1">$E$6</f>
        <v>Frequent</v>
      </c>
      <c r="M139" s="13">
        <f t="shared" ca="1" si="26"/>
        <v>1</v>
      </c>
      <c r="N139" s="3">
        <f t="shared" ca="1" si="26"/>
        <v>1</v>
      </c>
      <c r="O139">
        <f t="shared" ca="1" si="27"/>
        <v>1</v>
      </c>
      <c r="R139" s="1"/>
    </row>
    <row r="140" spans="7:18" x14ac:dyDescent="0.25">
      <c r="G140" t="str">
        <f t="shared" si="28"/>
        <v>D8-R8</v>
      </c>
      <c r="H140" t="str">
        <f>$A$7</f>
        <v>D3-R3</v>
      </c>
      <c r="I140" s="13" t="str">
        <f t="shared" ca="1" si="29"/>
        <v>B</v>
      </c>
      <c r="J140" s="13" t="str">
        <f t="shared" ca="1" si="30"/>
        <v>Rare</v>
      </c>
      <c r="K140" s="12" t="str">
        <f ca="1">$D$7</f>
        <v>B</v>
      </c>
      <c r="L140" s="11" t="str">
        <f ca="1">$E$7</f>
        <v>Frequent</v>
      </c>
      <c r="M140" s="13">
        <f t="shared" ca="1" si="26"/>
        <v>1</v>
      </c>
      <c r="N140" s="3">
        <f t="shared" ca="1" si="26"/>
        <v>1</v>
      </c>
      <c r="O140">
        <f t="shared" ca="1" si="27"/>
        <v>1</v>
      </c>
      <c r="R140" s="1"/>
    </row>
    <row r="141" spans="7:18" x14ac:dyDescent="0.25">
      <c r="G141" t="str">
        <f t="shared" si="28"/>
        <v>D8-R8</v>
      </c>
      <c r="H141" t="str">
        <f>$A$8</f>
        <v>D4-R4</v>
      </c>
      <c r="I141" s="13" t="str">
        <f t="shared" ca="1" si="29"/>
        <v>B</v>
      </c>
      <c r="J141" s="13" t="str">
        <f t="shared" ca="1" si="30"/>
        <v>Rare</v>
      </c>
      <c r="K141" s="17" t="str">
        <f ca="1">$D$8</f>
        <v>A</v>
      </c>
      <c r="L141" s="15" t="str">
        <f ca="1">$E$8</f>
        <v>Frequent</v>
      </c>
      <c r="M141" s="13">
        <f t="shared" ca="1" si="26"/>
        <v>0</v>
      </c>
      <c r="N141" s="3">
        <f t="shared" ca="1" si="26"/>
        <v>1</v>
      </c>
      <c r="O141">
        <f t="shared" ca="1" si="27"/>
        <v>0</v>
      </c>
      <c r="R141" s="1"/>
    </row>
    <row r="142" spans="7:18" x14ac:dyDescent="0.25">
      <c r="G142" t="str">
        <f t="shared" si="28"/>
        <v>D8-R8</v>
      </c>
      <c r="H142" t="str">
        <f>$A$9</f>
        <v>D5-R5</v>
      </c>
      <c r="I142" s="13" t="str">
        <f t="shared" ca="1" si="29"/>
        <v>B</v>
      </c>
      <c r="J142" s="13" t="str">
        <f t="shared" ca="1" si="30"/>
        <v>Rare</v>
      </c>
      <c r="K142" s="17" t="str">
        <f ca="1">$D$9</f>
        <v>AB</v>
      </c>
      <c r="L142" s="15" t="str">
        <f ca="1">$E$9</f>
        <v>Rare</v>
      </c>
      <c r="M142" s="13">
        <f t="shared" ca="1" si="26"/>
        <v>1</v>
      </c>
      <c r="N142" s="3">
        <f t="shared" ca="1" si="26"/>
        <v>1</v>
      </c>
      <c r="O142">
        <f t="shared" ca="1" si="27"/>
        <v>1</v>
      </c>
      <c r="R142" s="1"/>
    </row>
    <row r="143" spans="7:18" x14ac:dyDescent="0.25">
      <c r="G143" t="str">
        <f t="shared" si="28"/>
        <v>D8-R8</v>
      </c>
      <c r="H143" t="str">
        <f>$A$10</f>
        <v>D6-R6</v>
      </c>
      <c r="I143" s="13" t="str">
        <f t="shared" ca="1" si="29"/>
        <v>B</v>
      </c>
      <c r="J143" s="13" t="str">
        <f t="shared" ca="1" si="30"/>
        <v>Rare</v>
      </c>
      <c r="K143" s="17" t="str">
        <f ca="1">$D$10</f>
        <v>AB</v>
      </c>
      <c r="L143" s="15" t="str">
        <f ca="1">$E$10</f>
        <v>Frequent</v>
      </c>
      <c r="M143" s="13">
        <f t="shared" ca="1" si="26"/>
        <v>1</v>
      </c>
      <c r="N143" s="3">
        <f t="shared" ca="1" si="26"/>
        <v>1</v>
      </c>
      <c r="O143">
        <f t="shared" ca="1" si="27"/>
        <v>1</v>
      </c>
      <c r="R143" s="1"/>
    </row>
    <row r="144" spans="7:18" x14ac:dyDescent="0.25">
      <c r="G144" t="str">
        <f t="shared" si="28"/>
        <v>D8-R8</v>
      </c>
      <c r="H144" t="str">
        <f>$A$11</f>
        <v>D7-R7</v>
      </c>
      <c r="I144" s="13" t="str">
        <f t="shared" ca="1" si="29"/>
        <v>B</v>
      </c>
      <c r="J144" s="13" t="str">
        <f t="shared" ca="1" si="30"/>
        <v>Rare</v>
      </c>
      <c r="K144" s="17" t="str">
        <f ca="1">$D$11</f>
        <v>O</v>
      </c>
      <c r="L144" s="15" t="str">
        <f ca="1">$E$11</f>
        <v>Frequent</v>
      </c>
      <c r="M144" s="13">
        <f t="shared" ca="1" si="26"/>
        <v>0</v>
      </c>
      <c r="N144" s="3">
        <f t="shared" ca="1" si="26"/>
        <v>1</v>
      </c>
      <c r="O144">
        <f t="shared" ca="1" si="27"/>
        <v>0</v>
      </c>
      <c r="R144" s="1"/>
    </row>
    <row r="145" spans="7:18" x14ac:dyDescent="0.25">
      <c r="G145" t="str">
        <f t="shared" si="28"/>
        <v>D8-R8</v>
      </c>
      <c r="H145" t="str">
        <f>$A$13</f>
        <v>D9-R9</v>
      </c>
      <c r="I145" s="13" t="str">
        <f t="shared" ca="1" si="29"/>
        <v>B</v>
      </c>
      <c r="J145" s="13" t="str">
        <f t="shared" ca="1" si="30"/>
        <v>Rare</v>
      </c>
      <c r="K145" s="17" t="str">
        <f ca="1">$D$13</f>
        <v>A</v>
      </c>
      <c r="L145" s="15" t="str">
        <f ca="1">$E$13</f>
        <v>Frequent</v>
      </c>
      <c r="M145" s="13">
        <f t="shared" ca="1" si="26"/>
        <v>0</v>
      </c>
      <c r="N145" s="3">
        <f t="shared" ca="1" si="26"/>
        <v>1</v>
      </c>
      <c r="O145">
        <f t="shared" ca="1" si="27"/>
        <v>0</v>
      </c>
      <c r="R145" s="1"/>
    </row>
    <row r="146" spans="7:18" x14ac:dyDescent="0.25">
      <c r="G146" t="str">
        <f t="shared" si="28"/>
        <v>D8-R8</v>
      </c>
      <c r="H146" t="str">
        <f>$A$14</f>
        <v>D10-R10</v>
      </c>
      <c r="I146" s="13" t="str">
        <f t="shared" ca="1" si="29"/>
        <v>B</v>
      </c>
      <c r="J146" s="13" t="str">
        <f t="shared" ca="1" si="30"/>
        <v>Rare</v>
      </c>
      <c r="K146" s="12" t="str">
        <f ca="1">$D$14</f>
        <v>A</v>
      </c>
      <c r="L146" s="11" t="str">
        <f ca="1">$E$14</f>
        <v>Frequent</v>
      </c>
      <c r="M146" s="13">
        <f t="shared" ca="1" si="26"/>
        <v>0</v>
      </c>
      <c r="N146" s="3">
        <f t="shared" ca="1" si="26"/>
        <v>1</v>
      </c>
      <c r="O146">
        <f t="shared" ca="1" si="27"/>
        <v>0</v>
      </c>
      <c r="R146" s="1"/>
    </row>
    <row r="147" spans="7:18" x14ac:dyDescent="0.25">
      <c r="G147" t="str">
        <f t="shared" si="28"/>
        <v>D8-R8</v>
      </c>
      <c r="H147" t="str">
        <f>$A$15</f>
        <v>D11-R11</v>
      </c>
      <c r="I147" s="13" t="str">
        <f t="shared" ca="1" si="29"/>
        <v>B</v>
      </c>
      <c r="J147" s="13" t="str">
        <f t="shared" ca="1" si="30"/>
        <v>Rare</v>
      </c>
      <c r="K147" s="17" t="str">
        <f ca="1">$D$15</f>
        <v>AB</v>
      </c>
      <c r="L147" s="15" t="str">
        <f ca="1">$E$15</f>
        <v>Frequent</v>
      </c>
      <c r="M147" s="13">
        <f t="shared" ca="1" si="26"/>
        <v>1</v>
      </c>
      <c r="N147" s="3">
        <f t="shared" ca="1" si="26"/>
        <v>1</v>
      </c>
      <c r="O147">
        <f t="shared" ca="1" si="27"/>
        <v>1</v>
      </c>
      <c r="R147" s="1"/>
    </row>
    <row r="148" spans="7:18" x14ac:dyDescent="0.25">
      <c r="G148" t="str">
        <f t="shared" si="28"/>
        <v>D8-R8</v>
      </c>
      <c r="H148" t="str">
        <f>$A$16</f>
        <v>D12-R12</v>
      </c>
      <c r="I148" s="13" t="str">
        <f t="shared" ca="1" si="29"/>
        <v>B</v>
      </c>
      <c r="J148" s="13" t="str">
        <f t="shared" ca="1" si="30"/>
        <v>Rare</v>
      </c>
      <c r="K148" s="17" t="str">
        <f ca="1">$D$16</f>
        <v>B</v>
      </c>
      <c r="L148" s="15" t="str">
        <f ca="1">$E$16</f>
        <v>Rare</v>
      </c>
      <c r="M148" s="13">
        <f t="shared" ca="1" si="26"/>
        <v>1</v>
      </c>
      <c r="N148" s="3">
        <f t="shared" ca="1" si="26"/>
        <v>1</v>
      </c>
      <c r="O148">
        <f t="shared" ca="1" si="27"/>
        <v>1</v>
      </c>
      <c r="R148" s="1"/>
    </row>
    <row r="149" spans="7:18" x14ac:dyDescent="0.25">
      <c r="G149" t="str">
        <f t="shared" si="28"/>
        <v>D8-R8</v>
      </c>
      <c r="H149" t="str">
        <f>$A$17</f>
        <v>D13-R13</v>
      </c>
      <c r="I149" s="13" t="str">
        <f t="shared" ca="1" si="29"/>
        <v>B</v>
      </c>
      <c r="J149" s="13" t="str">
        <f t="shared" ca="1" si="30"/>
        <v>Rare</v>
      </c>
      <c r="K149" s="17" t="str">
        <f ca="1">$D$17</f>
        <v>AB</v>
      </c>
      <c r="L149" s="15" t="str">
        <f ca="1">$E$17</f>
        <v>Frequent</v>
      </c>
      <c r="M149" s="13">
        <f t="shared" ca="1" si="26"/>
        <v>1</v>
      </c>
      <c r="N149" s="3">
        <f t="shared" ca="1" si="26"/>
        <v>1</v>
      </c>
      <c r="O149">
        <f t="shared" ca="1" si="27"/>
        <v>1</v>
      </c>
      <c r="R149" s="1"/>
    </row>
    <row r="150" spans="7:18" x14ac:dyDescent="0.25">
      <c r="G150" t="str">
        <f t="shared" si="28"/>
        <v>D8-R8</v>
      </c>
      <c r="H150" t="str">
        <f>$A$18</f>
        <v>D14-R14</v>
      </c>
      <c r="I150" s="13" t="str">
        <f t="shared" ca="1" si="29"/>
        <v>B</v>
      </c>
      <c r="J150" s="13" t="str">
        <f t="shared" ca="1" si="30"/>
        <v>Rare</v>
      </c>
      <c r="K150" s="17" t="str">
        <f ca="1">$D$18</f>
        <v>B</v>
      </c>
      <c r="L150" s="15" t="str">
        <f ca="1">$E$18</f>
        <v>Frequent</v>
      </c>
      <c r="M150" s="13">
        <f t="shared" ca="1" si="26"/>
        <v>1</v>
      </c>
      <c r="N150" s="3">
        <f t="shared" ca="1" si="26"/>
        <v>1</v>
      </c>
      <c r="O150">
        <f t="shared" ca="1" si="27"/>
        <v>1</v>
      </c>
      <c r="R150" s="1"/>
    </row>
    <row r="151" spans="7:18" x14ac:dyDescent="0.25">
      <c r="G151" t="str">
        <f t="shared" si="28"/>
        <v>D8-R8</v>
      </c>
      <c r="H151" t="str">
        <f>$A$19</f>
        <v>D15-R15</v>
      </c>
      <c r="I151" s="13" t="str">
        <f t="shared" ca="1" si="29"/>
        <v>B</v>
      </c>
      <c r="J151" s="13" t="str">
        <f t="shared" ca="1" si="30"/>
        <v>Rare</v>
      </c>
      <c r="K151" s="17" t="str">
        <f ca="1">$D$19</f>
        <v>B</v>
      </c>
      <c r="L151" s="15" t="str">
        <f ca="1">$E$19</f>
        <v>Frequent</v>
      </c>
      <c r="M151" s="13">
        <f t="shared" ca="1" si="26"/>
        <v>1</v>
      </c>
      <c r="N151" s="3">
        <f t="shared" ca="1" si="26"/>
        <v>1</v>
      </c>
      <c r="O151">
        <f t="shared" ca="1" si="27"/>
        <v>1</v>
      </c>
      <c r="R151" s="1"/>
    </row>
    <row r="152" spans="7:18" x14ac:dyDescent="0.25">
      <c r="G152" t="str">
        <f t="shared" si="28"/>
        <v>D8-R8</v>
      </c>
      <c r="H152" t="str">
        <f>$A$20</f>
        <v>D16-R16</v>
      </c>
      <c r="I152" s="13" t="str">
        <f t="shared" ca="1" si="29"/>
        <v>B</v>
      </c>
      <c r="J152" s="13" t="str">
        <f t="shared" ca="1" si="30"/>
        <v>Rare</v>
      </c>
      <c r="K152" s="17" t="str">
        <f ca="1">$D$20</f>
        <v>B</v>
      </c>
      <c r="L152" s="15" t="str">
        <f ca="1">$E$20</f>
        <v>Frequent</v>
      </c>
      <c r="M152" s="13">
        <f t="shared" ca="1" si="26"/>
        <v>1</v>
      </c>
      <c r="N152" s="3">
        <f t="shared" ca="1" si="26"/>
        <v>1</v>
      </c>
      <c r="O152">
        <f t="shared" ca="1" si="27"/>
        <v>1</v>
      </c>
      <c r="R152" s="1"/>
    </row>
    <row r="153" spans="7:18" x14ac:dyDescent="0.25">
      <c r="G153" t="str">
        <f t="shared" si="28"/>
        <v>D8-R8</v>
      </c>
      <c r="H153" t="str">
        <f>$A$21</f>
        <v>D17-R17</v>
      </c>
      <c r="I153" s="13" t="str">
        <f t="shared" ca="1" si="29"/>
        <v>B</v>
      </c>
      <c r="J153" s="13" t="str">
        <f t="shared" ca="1" si="30"/>
        <v>Rare</v>
      </c>
      <c r="K153" s="12" t="str">
        <f ca="1">$D$21</f>
        <v>B</v>
      </c>
      <c r="L153" s="11" t="str">
        <f ca="1">$E$21</f>
        <v>Rare</v>
      </c>
      <c r="M153" s="13">
        <f t="shared" ca="1" si="26"/>
        <v>1</v>
      </c>
      <c r="N153" s="3">
        <f t="shared" ca="1" si="26"/>
        <v>1</v>
      </c>
      <c r="O153">
        <f t="shared" ca="1" si="27"/>
        <v>1</v>
      </c>
      <c r="R153" s="1"/>
    </row>
    <row r="154" spans="7:18" x14ac:dyDescent="0.25">
      <c r="G154" t="str">
        <f t="shared" si="28"/>
        <v>D8-R8</v>
      </c>
      <c r="H154" t="str">
        <f>$A$22</f>
        <v>D18-R18</v>
      </c>
      <c r="I154" s="13" t="str">
        <f t="shared" ca="1" si="29"/>
        <v>B</v>
      </c>
      <c r="J154" s="13" t="str">
        <f t="shared" ca="1" si="30"/>
        <v>Rare</v>
      </c>
      <c r="K154" s="12" t="str">
        <f ca="1">$D$22</f>
        <v>A</v>
      </c>
      <c r="L154" s="11" t="str">
        <f ca="1">$E$22</f>
        <v>Rare</v>
      </c>
      <c r="M154" s="13">
        <f t="shared" ca="1" si="26"/>
        <v>0</v>
      </c>
      <c r="N154" s="3">
        <f t="shared" ca="1" si="26"/>
        <v>1</v>
      </c>
      <c r="O154">
        <f t="shared" ca="1" si="27"/>
        <v>0</v>
      </c>
      <c r="R154" s="1"/>
    </row>
    <row r="155" spans="7:18" x14ac:dyDescent="0.25">
      <c r="G155" t="str">
        <f t="shared" si="28"/>
        <v>D8-R8</v>
      </c>
      <c r="H155" t="str">
        <f>$A$23</f>
        <v>D19-R19</v>
      </c>
      <c r="I155" s="13" t="str">
        <f t="shared" ca="1" si="29"/>
        <v>B</v>
      </c>
      <c r="J155" s="13" t="str">
        <f t="shared" ca="1" si="30"/>
        <v>Rare</v>
      </c>
      <c r="K155" s="12" t="str">
        <f ca="1">$D$23</f>
        <v>B</v>
      </c>
      <c r="L155" s="11" t="str">
        <f ca="1">$E$23</f>
        <v>Rare</v>
      </c>
      <c r="M155" s="13">
        <f t="shared" ca="1" si="26"/>
        <v>1</v>
      </c>
      <c r="N155" s="3">
        <f t="shared" ca="1" si="26"/>
        <v>1</v>
      </c>
      <c r="O155">
        <f t="shared" ca="1" si="27"/>
        <v>1</v>
      </c>
      <c r="R155" s="1"/>
    </row>
    <row r="156" spans="7:18" x14ac:dyDescent="0.25">
      <c r="G156" t="str">
        <f t="shared" si="28"/>
        <v>D8-R8</v>
      </c>
      <c r="H156" t="str">
        <f>$A$24</f>
        <v>D20-R20</v>
      </c>
      <c r="I156" s="13" t="str">
        <f t="shared" ca="1" si="29"/>
        <v>B</v>
      </c>
      <c r="J156" s="13" t="str">
        <f t="shared" ca="1" si="30"/>
        <v>Rare</v>
      </c>
      <c r="K156" s="12" t="str">
        <f ca="1">$D$24</f>
        <v>AB</v>
      </c>
      <c r="L156" s="11" t="str">
        <f ca="1">$E$24</f>
        <v>Rare</v>
      </c>
      <c r="M156" s="13">
        <f t="shared" ca="1" si="26"/>
        <v>1</v>
      </c>
      <c r="N156" s="3">
        <f t="shared" ca="1" si="26"/>
        <v>1</v>
      </c>
      <c r="O156">
        <f t="shared" ca="1" si="27"/>
        <v>1</v>
      </c>
      <c r="R156" s="1"/>
    </row>
    <row r="157" spans="7:18" x14ac:dyDescent="0.25">
      <c r="G157" t="str">
        <f>$A$13</f>
        <v>D9-R9</v>
      </c>
      <c r="H157" t="str">
        <f>$A$5</f>
        <v>D1-R1</v>
      </c>
      <c r="I157" s="13" t="str">
        <f ca="1">$B$13</f>
        <v>O</v>
      </c>
      <c r="J157" s="13" t="str">
        <f ca="1">$C$13</f>
        <v>Frequent</v>
      </c>
      <c r="K157" s="16" t="str">
        <f ca="1">$D$5</f>
        <v>O</v>
      </c>
      <c r="L157" s="13" t="str">
        <f ca="1">$E$5</f>
        <v>Rare</v>
      </c>
      <c r="M157" s="13">
        <f t="shared" ca="1" si="26"/>
        <v>1</v>
      </c>
      <c r="N157" s="3">
        <f t="shared" ca="1" si="26"/>
        <v>0</v>
      </c>
      <c r="O157">
        <f t="shared" ca="1" si="27"/>
        <v>0</v>
      </c>
      <c r="R157" s="1"/>
    </row>
    <row r="158" spans="7:18" x14ac:dyDescent="0.25">
      <c r="G158" t="str">
        <f t="shared" ref="G158:G175" si="31">$A$13</f>
        <v>D9-R9</v>
      </c>
      <c r="H158" t="str">
        <f>$A$6</f>
        <v>D2-R2</v>
      </c>
      <c r="I158" s="13" t="str">
        <f t="shared" ref="I158:I175" ca="1" si="32">$B$13</f>
        <v>O</v>
      </c>
      <c r="J158" s="13" t="str">
        <f t="shared" ref="J158:J175" ca="1" si="33">$C$13</f>
        <v>Frequent</v>
      </c>
      <c r="K158" s="16" t="str">
        <f ca="1">$D$6</f>
        <v>AB</v>
      </c>
      <c r="L158" s="13" t="str">
        <f ca="1">$E$6</f>
        <v>Frequent</v>
      </c>
      <c r="M158" s="13">
        <f t="shared" ca="1" si="26"/>
        <v>1</v>
      </c>
      <c r="N158" s="3">
        <f t="shared" ca="1" si="26"/>
        <v>1</v>
      </c>
      <c r="O158">
        <f t="shared" ca="1" si="27"/>
        <v>1</v>
      </c>
      <c r="R158" s="1"/>
    </row>
    <row r="159" spans="7:18" x14ac:dyDescent="0.25">
      <c r="G159" t="str">
        <f t="shared" si="31"/>
        <v>D9-R9</v>
      </c>
      <c r="H159" t="str">
        <f>$A$7</f>
        <v>D3-R3</v>
      </c>
      <c r="I159" s="13" t="str">
        <f t="shared" ca="1" si="32"/>
        <v>O</v>
      </c>
      <c r="J159" s="13" t="str">
        <f t="shared" ca="1" si="33"/>
        <v>Frequent</v>
      </c>
      <c r="K159" s="12" t="str">
        <f ca="1">$D$7</f>
        <v>B</v>
      </c>
      <c r="L159" s="11" t="str">
        <f ca="1">$E$7</f>
        <v>Frequent</v>
      </c>
      <c r="M159" s="13">
        <f t="shared" ca="1" si="26"/>
        <v>1</v>
      </c>
      <c r="N159" s="3">
        <f t="shared" ca="1" si="26"/>
        <v>1</v>
      </c>
      <c r="O159">
        <f t="shared" ca="1" si="27"/>
        <v>1</v>
      </c>
      <c r="R159" s="1"/>
    </row>
    <row r="160" spans="7:18" x14ac:dyDescent="0.25">
      <c r="G160" t="str">
        <f t="shared" si="31"/>
        <v>D9-R9</v>
      </c>
      <c r="H160" t="str">
        <f>$A$8</f>
        <v>D4-R4</v>
      </c>
      <c r="I160" s="13" t="str">
        <f t="shared" ca="1" si="32"/>
        <v>O</v>
      </c>
      <c r="J160" s="13" t="str">
        <f t="shared" ca="1" si="33"/>
        <v>Frequent</v>
      </c>
      <c r="K160" s="17" t="str">
        <f ca="1">$D$8</f>
        <v>A</v>
      </c>
      <c r="L160" s="15" t="str">
        <f ca="1">$E$8</f>
        <v>Frequent</v>
      </c>
      <c r="M160" s="13">
        <f t="shared" ca="1" si="26"/>
        <v>1</v>
      </c>
      <c r="N160" s="3">
        <f t="shared" ca="1" si="26"/>
        <v>1</v>
      </c>
      <c r="O160">
        <f t="shared" ca="1" si="27"/>
        <v>1</v>
      </c>
      <c r="R160" s="1"/>
    </row>
    <row r="161" spans="7:18" x14ac:dyDescent="0.25">
      <c r="G161" t="str">
        <f t="shared" si="31"/>
        <v>D9-R9</v>
      </c>
      <c r="H161" t="str">
        <f>$A$9</f>
        <v>D5-R5</v>
      </c>
      <c r="I161" s="13" t="str">
        <f t="shared" ca="1" si="32"/>
        <v>O</v>
      </c>
      <c r="J161" s="13" t="str">
        <f t="shared" ca="1" si="33"/>
        <v>Frequent</v>
      </c>
      <c r="K161" s="17" t="str">
        <f ca="1">$D$9</f>
        <v>AB</v>
      </c>
      <c r="L161" s="15" t="str">
        <f ca="1">$E$9</f>
        <v>Rare</v>
      </c>
      <c r="M161" s="13">
        <f t="shared" ca="1" si="26"/>
        <v>1</v>
      </c>
      <c r="N161" s="3">
        <f t="shared" ca="1" si="26"/>
        <v>0</v>
      </c>
      <c r="O161">
        <f t="shared" ca="1" si="27"/>
        <v>0</v>
      </c>
      <c r="R161" s="1"/>
    </row>
    <row r="162" spans="7:18" x14ac:dyDescent="0.25">
      <c r="G162" t="str">
        <f t="shared" si="31"/>
        <v>D9-R9</v>
      </c>
      <c r="H162" t="str">
        <f>$A$10</f>
        <v>D6-R6</v>
      </c>
      <c r="I162" s="13" t="str">
        <f t="shared" ca="1" si="32"/>
        <v>O</v>
      </c>
      <c r="J162" s="13" t="str">
        <f t="shared" ca="1" si="33"/>
        <v>Frequent</v>
      </c>
      <c r="K162" s="17" t="str">
        <f ca="1">$D$10</f>
        <v>AB</v>
      </c>
      <c r="L162" s="15" t="str">
        <f ca="1">$E$10</f>
        <v>Frequent</v>
      </c>
      <c r="M162" s="13">
        <f t="shared" ca="1" si="26"/>
        <v>1</v>
      </c>
      <c r="N162" s="3">
        <f t="shared" ca="1" si="26"/>
        <v>1</v>
      </c>
      <c r="O162">
        <f t="shared" ca="1" si="27"/>
        <v>1</v>
      </c>
      <c r="R162" s="1"/>
    </row>
    <row r="163" spans="7:18" x14ac:dyDescent="0.25">
      <c r="G163" t="str">
        <f t="shared" si="31"/>
        <v>D9-R9</v>
      </c>
      <c r="H163" t="str">
        <f>$A$11</f>
        <v>D7-R7</v>
      </c>
      <c r="I163" s="13" t="str">
        <f t="shared" ca="1" si="32"/>
        <v>O</v>
      </c>
      <c r="J163" s="13" t="str">
        <f t="shared" ca="1" si="33"/>
        <v>Frequent</v>
      </c>
      <c r="K163" s="17" t="str">
        <f ca="1">$D$11</f>
        <v>O</v>
      </c>
      <c r="L163" s="15" t="str">
        <f ca="1">$E$11</f>
        <v>Frequent</v>
      </c>
      <c r="M163" s="13">
        <f t="shared" ca="1" si="26"/>
        <v>1</v>
      </c>
      <c r="N163" s="3">
        <f t="shared" ca="1" si="26"/>
        <v>1</v>
      </c>
      <c r="O163">
        <f t="shared" ca="1" si="27"/>
        <v>1</v>
      </c>
      <c r="R163" s="1"/>
    </row>
    <row r="164" spans="7:18" x14ac:dyDescent="0.25">
      <c r="G164" t="str">
        <f t="shared" si="31"/>
        <v>D9-R9</v>
      </c>
      <c r="H164" t="str">
        <f>$A$12</f>
        <v>D8-R8</v>
      </c>
      <c r="I164" s="13" t="str">
        <f t="shared" ca="1" si="32"/>
        <v>O</v>
      </c>
      <c r="J164" s="13" t="str">
        <f t="shared" ca="1" si="33"/>
        <v>Frequent</v>
      </c>
      <c r="K164" s="17" t="str">
        <f ca="1">$D$12</f>
        <v>B</v>
      </c>
      <c r="L164" s="15" t="str">
        <f ca="1">$E$12</f>
        <v>Rare</v>
      </c>
      <c r="M164" s="13">
        <f t="shared" ca="1" si="26"/>
        <v>1</v>
      </c>
      <c r="N164" s="3">
        <f t="shared" ca="1" si="26"/>
        <v>0</v>
      </c>
      <c r="O164">
        <f t="shared" ca="1" si="27"/>
        <v>0</v>
      </c>
      <c r="R164" s="1"/>
    </row>
    <row r="165" spans="7:18" x14ac:dyDescent="0.25">
      <c r="G165" t="str">
        <f t="shared" si="31"/>
        <v>D9-R9</v>
      </c>
      <c r="H165" t="str">
        <f>$A$14</f>
        <v>D10-R10</v>
      </c>
      <c r="I165" s="13" t="str">
        <f t="shared" ca="1" si="32"/>
        <v>O</v>
      </c>
      <c r="J165" s="13" t="str">
        <f t="shared" ca="1" si="33"/>
        <v>Frequent</v>
      </c>
      <c r="K165" s="12" t="str">
        <f ca="1">$D$14</f>
        <v>A</v>
      </c>
      <c r="L165" s="11" t="str">
        <f ca="1">$E$14</f>
        <v>Frequent</v>
      </c>
      <c r="M165" s="13">
        <f t="shared" ca="1" si="26"/>
        <v>1</v>
      </c>
      <c r="N165" s="3">
        <f t="shared" ca="1" si="26"/>
        <v>1</v>
      </c>
      <c r="O165">
        <f t="shared" ca="1" si="27"/>
        <v>1</v>
      </c>
      <c r="R165" s="1"/>
    </row>
    <row r="166" spans="7:18" x14ac:dyDescent="0.25">
      <c r="G166" t="str">
        <f t="shared" si="31"/>
        <v>D9-R9</v>
      </c>
      <c r="H166" t="str">
        <f>$A$15</f>
        <v>D11-R11</v>
      </c>
      <c r="I166" s="13" t="str">
        <f t="shared" ca="1" si="32"/>
        <v>O</v>
      </c>
      <c r="J166" s="13" t="str">
        <f t="shared" ca="1" si="33"/>
        <v>Frequent</v>
      </c>
      <c r="K166" s="17" t="str">
        <f ca="1">$D$15</f>
        <v>AB</v>
      </c>
      <c r="L166" s="15" t="str">
        <f ca="1">$E$15</f>
        <v>Frequent</v>
      </c>
      <c r="M166" s="13">
        <f t="shared" ca="1" si="26"/>
        <v>1</v>
      </c>
      <c r="N166" s="3">
        <f t="shared" ca="1" si="26"/>
        <v>1</v>
      </c>
      <c r="O166">
        <f t="shared" ca="1" si="27"/>
        <v>1</v>
      </c>
      <c r="R166" s="1"/>
    </row>
    <row r="167" spans="7:18" x14ac:dyDescent="0.25">
      <c r="G167" t="str">
        <f t="shared" si="31"/>
        <v>D9-R9</v>
      </c>
      <c r="H167" t="str">
        <f>$A$16</f>
        <v>D12-R12</v>
      </c>
      <c r="I167" s="13" t="str">
        <f t="shared" ca="1" si="32"/>
        <v>O</v>
      </c>
      <c r="J167" s="13" t="str">
        <f t="shared" ca="1" si="33"/>
        <v>Frequent</v>
      </c>
      <c r="K167" s="17" t="str">
        <f ca="1">$D$16</f>
        <v>B</v>
      </c>
      <c r="L167" s="15" t="str">
        <f ca="1">$E$16</f>
        <v>Rare</v>
      </c>
      <c r="M167" s="13">
        <f t="shared" ca="1" si="26"/>
        <v>1</v>
      </c>
      <c r="N167" s="3">
        <f t="shared" ca="1" si="26"/>
        <v>0</v>
      </c>
      <c r="O167">
        <f t="shared" ca="1" si="27"/>
        <v>0</v>
      </c>
      <c r="R167" s="1"/>
    </row>
    <row r="168" spans="7:18" x14ac:dyDescent="0.25">
      <c r="G168" t="str">
        <f t="shared" si="31"/>
        <v>D9-R9</v>
      </c>
      <c r="H168" t="str">
        <f>$A$17</f>
        <v>D13-R13</v>
      </c>
      <c r="I168" s="13" t="str">
        <f t="shared" ca="1" si="32"/>
        <v>O</v>
      </c>
      <c r="J168" s="13" t="str">
        <f t="shared" ca="1" si="33"/>
        <v>Frequent</v>
      </c>
      <c r="K168" s="17" t="str">
        <f ca="1">$D$17</f>
        <v>AB</v>
      </c>
      <c r="L168" s="15" t="str">
        <f ca="1">$E$17</f>
        <v>Frequent</v>
      </c>
      <c r="M168" s="13">
        <f t="shared" ca="1" si="26"/>
        <v>1</v>
      </c>
      <c r="N168" s="3">
        <f t="shared" ca="1" si="26"/>
        <v>1</v>
      </c>
      <c r="O168">
        <f t="shared" ca="1" si="27"/>
        <v>1</v>
      </c>
      <c r="R168" s="1"/>
    </row>
    <row r="169" spans="7:18" x14ac:dyDescent="0.25">
      <c r="G169" t="str">
        <f t="shared" si="31"/>
        <v>D9-R9</v>
      </c>
      <c r="H169" t="str">
        <f>$A$18</f>
        <v>D14-R14</v>
      </c>
      <c r="I169" s="13" t="str">
        <f t="shared" ca="1" si="32"/>
        <v>O</v>
      </c>
      <c r="J169" s="13" t="str">
        <f t="shared" ca="1" si="33"/>
        <v>Frequent</v>
      </c>
      <c r="K169" s="17" t="str">
        <f ca="1">$D$18</f>
        <v>B</v>
      </c>
      <c r="L169" s="15" t="str">
        <f ca="1">$E$18</f>
        <v>Frequent</v>
      </c>
      <c r="M169" s="13">
        <f t="shared" ca="1" si="26"/>
        <v>1</v>
      </c>
      <c r="N169" s="3">
        <f t="shared" ca="1" si="26"/>
        <v>1</v>
      </c>
      <c r="O169">
        <f t="shared" ca="1" si="27"/>
        <v>1</v>
      </c>
      <c r="R169" s="1"/>
    </row>
    <row r="170" spans="7:18" x14ac:dyDescent="0.25">
      <c r="G170" t="str">
        <f t="shared" si="31"/>
        <v>D9-R9</v>
      </c>
      <c r="H170" t="str">
        <f>$A$19</f>
        <v>D15-R15</v>
      </c>
      <c r="I170" s="13" t="str">
        <f t="shared" ca="1" si="32"/>
        <v>O</v>
      </c>
      <c r="J170" s="13" t="str">
        <f t="shared" ca="1" si="33"/>
        <v>Frequent</v>
      </c>
      <c r="K170" s="17" t="str">
        <f ca="1">$D$19</f>
        <v>B</v>
      </c>
      <c r="L170" s="15" t="str">
        <f ca="1">$E$19</f>
        <v>Frequent</v>
      </c>
      <c r="M170" s="13">
        <f t="shared" ca="1" si="26"/>
        <v>1</v>
      </c>
      <c r="N170" s="3">
        <f t="shared" ca="1" si="26"/>
        <v>1</v>
      </c>
      <c r="O170">
        <f t="shared" ca="1" si="27"/>
        <v>1</v>
      </c>
      <c r="R170" s="1"/>
    </row>
    <row r="171" spans="7:18" x14ac:dyDescent="0.25">
      <c r="G171" t="str">
        <f t="shared" si="31"/>
        <v>D9-R9</v>
      </c>
      <c r="H171" t="str">
        <f>$A$20</f>
        <v>D16-R16</v>
      </c>
      <c r="I171" s="13" t="str">
        <f t="shared" ca="1" si="32"/>
        <v>O</v>
      </c>
      <c r="J171" s="13" t="str">
        <f t="shared" ca="1" si="33"/>
        <v>Frequent</v>
      </c>
      <c r="K171" s="17" t="str">
        <f ca="1">$D$20</f>
        <v>B</v>
      </c>
      <c r="L171" s="15" t="str">
        <f ca="1">$E$20</f>
        <v>Frequent</v>
      </c>
      <c r="M171" s="13">
        <f t="shared" ca="1" si="26"/>
        <v>1</v>
      </c>
      <c r="N171" s="3">
        <f t="shared" ca="1" si="26"/>
        <v>1</v>
      </c>
      <c r="O171">
        <f t="shared" ca="1" si="27"/>
        <v>1</v>
      </c>
      <c r="R171" s="1"/>
    </row>
    <row r="172" spans="7:18" x14ac:dyDescent="0.25">
      <c r="G172" t="str">
        <f t="shared" si="31"/>
        <v>D9-R9</v>
      </c>
      <c r="H172" t="str">
        <f>$A$21</f>
        <v>D17-R17</v>
      </c>
      <c r="I172" s="13" t="str">
        <f t="shared" ca="1" si="32"/>
        <v>O</v>
      </c>
      <c r="J172" s="13" t="str">
        <f t="shared" ca="1" si="33"/>
        <v>Frequent</v>
      </c>
      <c r="K172" s="12" t="str">
        <f ca="1">$D$21</f>
        <v>B</v>
      </c>
      <c r="L172" s="11" t="str">
        <f ca="1">$E$21</f>
        <v>Rare</v>
      </c>
      <c r="M172" s="13">
        <f t="shared" ca="1" si="26"/>
        <v>1</v>
      </c>
      <c r="N172" s="3">
        <f t="shared" ca="1" si="26"/>
        <v>0</v>
      </c>
      <c r="O172">
        <f t="shared" ca="1" si="27"/>
        <v>0</v>
      </c>
      <c r="R172" s="1"/>
    </row>
    <row r="173" spans="7:18" x14ac:dyDescent="0.25">
      <c r="G173" t="str">
        <f t="shared" si="31"/>
        <v>D9-R9</v>
      </c>
      <c r="H173" t="str">
        <f>$A$22</f>
        <v>D18-R18</v>
      </c>
      <c r="I173" s="13" t="str">
        <f t="shared" ca="1" si="32"/>
        <v>O</v>
      </c>
      <c r="J173" s="13" t="str">
        <f t="shared" ca="1" si="33"/>
        <v>Frequent</v>
      </c>
      <c r="K173" s="12" t="str">
        <f ca="1">$D$22</f>
        <v>A</v>
      </c>
      <c r="L173" s="11" t="str">
        <f ca="1">$E$22</f>
        <v>Rare</v>
      </c>
      <c r="M173" s="13">
        <f t="shared" ca="1" si="26"/>
        <v>1</v>
      </c>
      <c r="N173" s="3">
        <f t="shared" ca="1" si="26"/>
        <v>0</v>
      </c>
      <c r="O173">
        <f t="shared" ca="1" si="27"/>
        <v>0</v>
      </c>
      <c r="R173" s="1"/>
    </row>
    <row r="174" spans="7:18" x14ac:dyDescent="0.25">
      <c r="G174" t="str">
        <f t="shared" si="31"/>
        <v>D9-R9</v>
      </c>
      <c r="H174" t="str">
        <f>$A$23</f>
        <v>D19-R19</v>
      </c>
      <c r="I174" s="13" t="str">
        <f t="shared" ca="1" si="32"/>
        <v>O</v>
      </c>
      <c r="J174" s="13" t="str">
        <f t="shared" ca="1" si="33"/>
        <v>Frequent</v>
      </c>
      <c r="K174" s="12" t="str">
        <f ca="1">$D$23</f>
        <v>B</v>
      </c>
      <c r="L174" s="11" t="str">
        <f ca="1">$E$23</f>
        <v>Rare</v>
      </c>
      <c r="M174" s="13">
        <f t="shared" ca="1" si="26"/>
        <v>1</v>
      </c>
      <c r="N174" s="3">
        <f t="shared" ca="1" si="26"/>
        <v>0</v>
      </c>
      <c r="O174">
        <f t="shared" ca="1" si="27"/>
        <v>0</v>
      </c>
      <c r="R174" s="1"/>
    </row>
    <row r="175" spans="7:18" x14ac:dyDescent="0.25">
      <c r="G175" t="str">
        <f t="shared" si="31"/>
        <v>D9-R9</v>
      </c>
      <c r="H175" t="str">
        <f>$A$24</f>
        <v>D20-R20</v>
      </c>
      <c r="I175" s="13" t="str">
        <f t="shared" ca="1" si="32"/>
        <v>O</v>
      </c>
      <c r="J175" s="13" t="str">
        <f t="shared" ca="1" si="33"/>
        <v>Frequent</v>
      </c>
      <c r="K175" s="12" t="str">
        <f ca="1">$D$24</f>
        <v>AB</v>
      </c>
      <c r="L175" s="11" t="str">
        <f ca="1">$E$24</f>
        <v>Rare</v>
      </c>
      <c r="M175" s="13">
        <f t="shared" ca="1" si="26"/>
        <v>1</v>
      </c>
      <c r="N175" s="3">
        <f t="shared" ca="1" si="26"/>
        <v>0</v>
      </c>
      <c r="O175">
        <f t="shared" ca="1" si="27"/>
        <v>0</v>
      </c>
      <c r="R175" s="1"/>
    </row>
    <row r="176" spans="7:18" x14ac:dyDescent="0.25">
      <c r="G176" t="str">
        <f>$A$14</f>
        <v>D10-R10</v>
      </c>
      <c r="H176" t="str">
        <f>$A$5</f>
        <v>D1-R1</v>
      </c>
      <c r="I176" s="13" t="str">
        <f ca="1">$B$14</f>
        <v>AB</v>
      </c>
      <c r="J176" s="13" t="str">
        <f ca="1">$C$14</f>
        <v>Frequent</v>
      </c>
      <c r="K176" s="16" t="str">
        <f ca="1">$D$5</f>
        <v>O</v>
      </c>
      <c r="L176" s="13" t="str">
        <f ca="1">$E$5</f>
        <v>Rare</v>
      </c>
      <c r="M176" s="13">
        <f t="shared" ca="1" si="26"/>
        <v>0</v>
      </c>
      <c r="N176" s="3">
        <f t="shared" ca="1" si="26"/>
        <v>0</v>
      </c>
      <c r="O176">
        <f t="shared" ca="1" si="27"/>
        <v>0</v>
      </c>
      <c r="R176" s="1"/>
    </row>
    <row r="177" spans="7:18" x14ac:dyDescent="0.25">
      <c r="G177" t="str">
        <f t="shared" ref="G177:G194" si="34">$A$14</f>
        <v>D10-R10</v>
      </c>
      <c r="H177" t="str">
        <f>$A$6</f>
        <v>D2-R2</v>
      </c>
      <c r="I177" s="13" t="str">
        <f t="shared" ref="I177:I194" ca="1" si="35">$B$14</f>
        <v>AB</v>
      </c>
      <c r="J177" s="13" t="str">
        <f t="shared" ref="J177:J194" ca="1" si="36">$C$14</f>
        <v>Frequent</v>
      </c>
      <c r="K177" s="16" t="str">
        <f ca="1">$D$6</f>
        <v>AB</v>
      </c>
      <c r="L177" s="13" t="str">
        <f ca="1">$E$6</f>
        <v>Frequent</v>
      </c>
      <c r="M177" s="13">
        <f t="shared" ca="1" si="26"/>
        <v>1</v>
      </c>
      <c r="N177" s="3">
        <f t="shared" ca="1" si="26"/>
        <v>1</v>
      </c>
      <c r="O177">
        <f t="shared" ca="1" si="27"/>
        <v>1</v>
      </c>
      <c r="R177" s="1"/>
    </row>
    <row r="178" spans="7:18" x14ac:dyDescent="0.25">
      <c r="G178" t="str">
        <f t="shared" si="34"/>
        <v>D10-R10</v>
      </c>
      <c r="H178" t="str">
        <f>$A$7</f>
        <v>D3-R3</v>
      </c>
      <c r="I178" s="13" t="str">
        <f t="shared" ca="1" si="35"/>
        <v>AB</v>
      </c>
      <c r="J178" s="13" t="str">
        <f t="shared" ca="1" si="36"/>
        <v>Frequent</v>
      </c>
      <c r="K178" s="12" t="str">
        <f ca="1">$D$7</f>
        <v>B</v>
      </c>
      <c r="L178" s="11" t="str">
        <f ca="1">$E$7</f>
        <v>Frequent</v>
      </c>
      <c r="M178" s="13">
        <f t="shared" ca="1" si="26"/>
        <v>0</v>
      </c>
      <c r="N178" s="3">
        <f t="shared" ca="1" si="26"/>
        <v>1</v>
      </c>
      <c r="O178">
        <f t="shared" ca="1" si="27"/>
        <v>0</v>
      </c>
      <c r="R178" s="1"/>
    </row>
    <row r="179" spans="7:18" x14ac:dyDescent="0.25">
      <c r="G179" t="str">
        <f t="shared" si="34"/>
        <v>D10-R10</v>
      </c>
      <c r="H179" t="str">
        <f>$A$8</f>
        <v>D4-R4</v>
      </c>
      <c r="I179" s="13" t="str">
        <f t="shared" ca="1" si="35"/>
        <v>AB</v>
      </c>
      <c r="J179" s="13" t="str">
        <f t="shared" ca="1" si="36"/>
        <v>Frequent</v>
      </c>
      <c r="K179" s="17" t="str">
        <f ca="1">$D$8</f>
        <v>A</v>
      </c>
      <c r="L179" s="15" t="str">
        <f ca="1">$E$8</f>
        <v>Frequent</v>
      </c>
      <c r="M179" s="13">
        <f t="shared" ca="1" si="26"/>
        <v>0</v>
      </c>
      <c r="N179" s="3">
        <f t="shared" ca="1" si="26"/>
        <v>1</v>
      </c>
      <c r="O179">
        <f t="shared" ca="1" si="27"/>
        <v>0</v>
      </c>
      <c r="R179" s="1"/>
    </row>
    <row r="180" spans="7:18" x14ac:dyDescent="0.25">
      <c r="G180" t="str">
        <f t="shared" si="34"/>
        <v>D10-R10</v>
      </c>
      <c r="H180" t="str">
        <f>$A$9</f>
        <v>D5-R5</v>
      </c>
      <c r="I180" s="13" t="str">
        <f t="shared" ca="1" si="35"/>
        <v>AB</v>
      </c>
      <c r="J180" s="13" t="str">
        <f t="shared" ca="1" si="36"/>
        <v>Frequent</v>
      </c>
      <c r="K180" s="17" t="str">
        <f ca="1">$D$9</f>
        <v>AB</v>
      </c>
      <c r="L180" s="15" t="str">
        <f ca="1">$E$9</f>
        <v>Rare</v>
      </c>
      <c r="M180" s="13">
        <f t="shared" ca="1" si="26"/>
        <v>1</v>
      </c>
      <c r="N180" s="3">
        <f t="shared" ca="1" si="26"/>
        <v>0</v>
      </c>
      <c r="O180">
        <f t="shared" ca="1" si="27"/>
        <v>0</v>
      </c>
      <c r="R180" s="1"/>
    </row>
    <row r="181" spans="7:18" x14ac:dyDescent="0.25">
      <c r="G181" t="str">
        <f t="shared" si="34"/>
        <v>D10-R10</v>
      </c>
      <c r="H181" t="str">
        <f>$A$10</f>
        <v>D6-R6</v>
      </c>
      <c r="I181" s="13" t="str">
        <f t="shared" ca="1" si="35"/>
        <v>AB</v>
      </c>
      <c r="J181" s="13" t="str">
        <f t="shared" ca="1" si="36"/>
        <v>Frequent</v>
      </c>
      <c r="K181" s="17" t="str">
        <f ca="1">$D$10</f>
        <v>AB</v>
      </c>
      <c r="L181" s="15" t="str">
        <f ca="1">$E$10</f>
        <v>Frequent</v>
      </c>
      <c r="M181" s="13">
        <f t="shared" ca="1" si="26"/>
        <v>1</v>
      </c>
      <c r="N181" s="3">
        <f t="shared" ca="1" si="26"/>
        <v>1</v>
      </c>
      <c r="O181">
        <f t="shared" ca="1" si="27"/>
        <v>1</v>
      </c>
      <c r="R181" s="1"/>
    </row>
    <row r="182" spans="7:18" x14ac:dyDescent="0.25">
      <c r="G182" t="str">
        <f t="shared" si="34"/>
        <v>D10-R10</v>
      </c>
      <c r="H182" t="str">
        <f>$A$11</f>
        <v>D7-R7</v>
      </c>
      <c r="I182" s="13" t="str">
        <f t="shared" ca="1" si="35"/>
        <v>AB</v>
      </c>
      <c r="J182" s="13" t="str">
        <f t="shared" ca="1" si="36"/>
        <v>Frequent</v>
      </c>
      <c r="K182" s="17" t="str">
        <f ca="1">$D$11</f>
        <v>O</v>
      </c>
      <c r="L182" s="15" t="str">
        <f ca="1">$E$11</f>
        <v>Frequent</v>
      </c>
      <c r="M182" s="13">
        <f t="shared" ca="1" si="26"/>
        <v>0</v>
      </c>
      <c r="N182" s="3">
        <f t="shared" ca="1" si="26"/>
        <v>1</v>
      </c>
      <c r="O182">
        <f t="shared" ca="1" si="27"/>
        <v>0</v>
      </c>
      <c r="R182" s="1"/>
    </row>
    <row r="183" spans="7:18" x14ac:dyDescent="0.25">
      <c r="G183" t="str">
        <f t="shared" si="34"/>
        <v>D10-R10</v>
      </c>
      <c r="H183" t="str">
        <f>$A$12</f>
        <v>D8-R8</v>
      </c>
      <c r="I183" s="13" t="str">
        <f t="shared" ca="1" si="35"/>
        <v>AB</v>
      </c>
      <c r="J183" s="13" t="str">
        <f t="shared" ca="1" si="36"/>
        <v>Frequent</v>
      </c>
      <c r="K183" s="17" t="str">
        <f ca="1">$D$12</f>
        <v>B</v>
      </c>
      <c r="L183" s="15" t="str">
        <f ca="1">$E$12</f>
        <v>Rare</v>
      </c>
      <c r="M183" s="13">
        <f t="shared" ca="1" si="26"/>
        <v>0</v>
      </c>
      <c r="N183" s="3">
        <f t="shared" ca="1" si="26"/>
        <v>0</v>
      </c>
      <c r="O183">
        <f t="shared" ca="1" si="27"/>
        <v>0</v>
      </c>
      <c r="R183" s="1"/>
    </row>
    <row r="184" spans="7:18" x14ac:dyDescent="0.25">
      <c r="G184" t="str">
        <f t="shared" si="34"/>
        <v>D10-R10</v>
      </c>
      <c r="H184" t="str">
        <f>$A$13</f>
        <v>D9-R9</v>
      </c>
      <c r="I184" s="13" t="str">
        <f t="shared" ca="1" si="35"/>
        <v>AB</v>
      </c>
      <c r="J184" s="13" t="str">
        <f t="shared" ca="1" si="36"/>
        <v>Frequent</v>
      </c>
      <c r="K184" s="17" t="str">
        <f ca="1">$D$13</f>
        <v>A</v>
      </c>
      <c r="L184" s="15" t="str">
        <f ca="1">$E$13</f>
        <v>Frequent</v>
      </c>
      <c r="M184" s="13">
        <f t="shared" ca="1" si="26"/>
        <v>0</v>
      </c>
      <c r="N184" s="3">
        <f t="shared" ca="1" si="26"/>
        <v>1</v>
      </c>
      <c r="O184">
        <f t="shared" ca="1" si="27"/>
        <v>0</v>
      </c>
      <c r="R184" s="1"/>
    </row>
    <row r="185" spans="7:18" x14ac:dyDescent="0.25">
      <c r="G185" t="str">
        <f t="shared" si="34"/>
        <v>D10-R10</v>
      </c>
      <c r="H185" t="str">
        <f>$A$15</f>
        <v>D11-R11</v>
      </c>
      <c r="I185" s="13" t="str">
        <f t="shared" ca="1" si="35"/>
        <v>AB</v>
      </c>
      <c r="J185" s="13" t="str">
        <f t="shared" ca="1" si="36"/>
        <v>Frequent</v>
      </c>
      <c r="K185" s="17" t="str">
        <f ca="1">$D$15</f>
        <v>AB</v>
      </c>
      <c r="L185" s="15" t="str">
        <f ca="1">$E$15</f>
        <v>Frequent</v>
      </c>
      <c r="M185" s="13">
        <f t="shared" ca="1" si="26"/>
        <v>1</v>
      </c>
      <c r="N185" s="3">
        <f t="shared" ca="1" si="26"/>
        <v>1</v>
      </c>
      <c r="O185">
        <f t="shared" ca="1" si="27"/>
        <v>1</v>
      </c>
      <c r="R185" s="1"/>
    </row>
    <row r="186" spans="7:18" x14ac:dyDescent="0.25">
      <c r="G186" t="str">
        <f t="shared" si="34"/>
        <v>D10-R10</v>
      </c>
      <c r="H186" t="str">
        <f>$A$16</f>
        <v>D12-R12</v>
      </c>
      <c r="I186" s="13" t="str">
        <f t="shared" ca="1" si="35"/>
        <v>AB</v>
      </c>
      <c r="J186" s="13" t="str">
        <f t="shared" ca="1" si="36"/>
        <v>Frequent</v>
      </c>
      <c r="K186" s="17" t="str">
        <f ca="1">$D$16</f>
        <v>B</v>
      </c>
      <c r="L186" s="15" t="str">
        <f ca="1">$E$16</f>
        <v>Rare</v>
      </c>
      <c r="M186" s="13">
        <f t="shared" ca="1" si="26"/>
        <v>0</v>
      </c>
      <c r="N186" s="3">
        <f t="shared" ca="1" si="26"/>
        <v>0</v>
      </c>
      <c r="O186">
        <f t="shared" ca="1" si="27"/>
        <v>0</v>
      </c>
      <c r="R186" s="1"/>
    </row>
    <row r="187" spans="7:18" x14ac:dyDescent="0.25">
      <c r="G187" t="str">
        <f t="shared" si="34"/>
        <v>D10-R10</v>
      </c>
      <c r="H187" t="str">
        <f>$A$17</f>
        <v>D13-R13</v>
      </c>
      <c r="I187" s="13" t="str">
        <f t="shared" ca="1" si="35"/>
        <v>AB</v>
      </c>
      <c r="J187" s="13" t="str">
        <f t="shared" ca="1" si="36"/>
        <v>Frequent</v>
      </c>
      <c r="K187" s="17" t="str">
        <f ca="1">$D$17</f>
        <v>AB</v>
      </c>
      <c r="L187" s="15" t="str">
        <f ca="1">$E$17</f>
        <v>Frequent</v>
      </c>
      <c r="M187" s="13">
        <f t="shared" ca="1" si="26"/>
        <v>1</v>
      </c>
      <c r="N187" s="3">
        <f t="shared" ca="1" si="26"/>
        <v>1</v>
      </c>
      <c r="O187">
        <f t="shared" ca="1" si="27"/>
        <v>1</v>
      </c>
      <c r="R187" s="1"/>
    </row>
    <row r="188" spans="7:18" x14ac:dyDescent="0.25">
      <c r="G188" t="str">
        <f t="shared" si="34"/>
        <v>D10-R10</v>
      </c>
      <c r="H188" t="str">
        <f>$A$18</f>
        <v>D14-R14</v>
      </c>
      <c r="I188" s="13" t="str">
        <f t="shared" ca="1" si="35"/>
        <v>AB</v>
      </c>
      <c r="J188" s="13" t="str">
        <f t="shared" ca="1" si="36"/>
        <v>Frequent</v>
      </c>
      <c r="K188" s="17" t="str">
        <f ca="1">$D$18</f>
        <v>B</v>
      </c>
      <c r="L188" s="15" t="str">
        <f ca="1">$E$18</f>
        <v>Frequent</v>
      </c>
      <c r="M188" s="13">
        <f t="shared" ca="1" si="26"/>
        <v>0</v>
      </c>
      <c r="N188" s="3">
        <f t="shared" ca="1" si="26"/>
        <v>1</v>
      </c>
      <c r="O188">
        <f t="shared" ca="1" si="27"/>
        <v>0</v>
      </c>
      <c r="R188" s="1"/>
    </row>
    <row r="189" spans="7:18" x14ac:dyDescent="0.25">
      <c r="G189" t="str">
        <f t="shared" si="34"/>
        <v>D10-R10</v>
      </c>
      <c r="H189" t="str">
        <f>$A$19</f>
        <v>D15-R15</v>
      </c>
      <c r="I189" s="13" t="str">
        <f t="shared" ca="1" si="35"/>
        <v>AB</v>
      </c>
      <c r="J189" s="13" t="str">
        <f t="shared" ca="1" si="36"/>
        <v>Frequent</v>
      </c>
      <c r="K189" s="17" t="str">
        <f ca="1">$D$19</f>
        <v>B</v>
      </c>
      <c r="L189" s="15" t="str">
        <f ca="1">$E$19</f>
        <v>Frequent</v>
      </c>
      <c r="M189" s="13">
        <f t="shared" ca="1" si="26"/>
        <v>0</v>
      </c>
      <c r="N189" s="3">
        <f t="shared" ca="1" si="26"/>
        <v>1</v>
      </c>
      <c r="O189">
        <f t="shared" ca="1" si="27"/>
        <v>0</v>
      </c>
      <c r="R189" s="1"/>
    </row>
    <row r="190" spans="7:18" x14ac:dyDescent="0.25">
      <c r="G190" t="str">
        <f t="shared" si="34"/>
        <v>D10-R10</v>
      </c>
      <c r="H190" t="str">
        <f>$A$20</f>
        <v>D16-R16</v>
      </c>
      <c r="I190" s="13" t="str">
        <f t="shared" ca="1" si="35"/>
        <v>AB</v>
      </c>
      <c r="J190" s="13" t="str">
        <f t="shared" ca="1" si="36"/>
        <v>Frequent</v>
      </c>
      <c r="K190" s="17" t="str">
        <f ca="1">$D$20</f>
        <v>B</v>
      </c>
      <c r="L190" s="15" t="str">
        <f ca="1">$E$20</f>
        <v>Frequent</v>
      </c>
      <c r="M190" s="13">
        <f t="shared" ca="1" si="26"/>
        <v>0</v>
      </c>
      <c r="N190" s="3">
        <f t="shared" ca="1" si="26"/>
        <v>1</v>
      </c>
      <c r="O190">
        <f t="shared" ca="1" si="27"/>
        <v>0</v>
      </c>
      <c r="R190" s="1"/>
    </row>
    <row r="191" spans="7:18" x14ac:dyDescent="0.25">
      <c r="G191" t="str">
        <f t="shared" si="34"/>
        <v>D10-R10</v>
      </c>
      <c r="H191" t="str">
        <f>$A$21</f>
        <v>D17-R17</v>
      </c>
      <c r="I191" s="13" t="str">
        <f t="shared" ca="1" si="35"/>
        <v>AB</v>
      </c>
      <c r="J191" s="13" t="str">
        <f t="shared" ca="1" si="36"/>
        <v>Frequent</v>
      </c>
      <c r="K191" s="12" t="str">
        <f ca="1">$D$21</f>
        <v>B</v>
      </c>
      <c r="L191" s="11" t="str">
        <f ca="1">$E$21</f>
        <v>Rare</v>
      </c>
      <c r="M191" s="13">
        <f t="shared" ca="1" si="26"/>
        <v>0</v>
      </c>
      <c r="N191" s="3">
        <f t="shared" ca="1" si="26"/>
        <v>0</v>
      </c>
      <c r="O191">
        <f t="shared" ca="1" si="27"/>
        <v>0</v>
      </c>
      <c r="R191" s="1"/>
    </row>
    <row r="192" spans="7:18" x14ac:dyDescent="0.25">
      <c r="G192" t="str">
        <f t="shared" si="34"/>
        <v>D10-R10</v>
      </c>
      <c r="H192" t="str">
        <f>$A$22</f>
        <v>D18-R18</v>
      </c>
      <c r="I192" s="13" t="str">
        <f t="shared" ca="1" si="35"/>
        <v>AB</v>
      </c>
      <c r="J192" s="13" t="str">
        <f t="shared" ca="1" si="36"/>
        <v>Frequent</v>
      </c>
      <c r="K192" s="12" t="str">
        <f ca="1">$D$22</f>
        <v>A</v>
      </c>
      <c r="L192" s="11" t="str">
        <f ca="1">$E$22</f>
        <v>Rare</v>
      </c>
      <c r="M192" s="13">
        <f t="shared" ca="1" si="26"/>
        <v>0</v>
      </c>
      <c r="N192" s="3">
        <f t="shared" ca="1" si="26"/>
        <v>0</v>
      </c>
      <c r="O192">
        <f t="shared" ca="1" si="27"/>
        <v>0</v>
      </c>
      <c r="R192" s="1"/>
    </row>
    <row r="193" spans="7:18" x14ac:dyDescent="0.25">
      <c r="G193" t="str">
        <f t="shared" si="34"/>
        <v>D10-R10</v>
      </c>
      <c r="H193" t="str">
        <f>$A$23</f>
        <v>D19-R19</v>
      </c>
      <c r="I193" s="13" t="str">
        <f t="shared" ca="1" si="35"/>
        <v>AB</v>
      </c>
      <c r="J193" s="13" t="str">
        <f t="shared" ca="1" si="36"/>
        <v>Frequent</v>
      </c>
      <c r="K193" s="12" t="str">
        <f ca="1">$D$23</f>
        <v>B</v>
      </c>
      <c r="L193" s="11" t="str">
        <f ca="1">$E$23</f>
        <v>Rare</v>
      </c>
      <c r="M193" s="13">
        <f t="shared" ca="1" si="26"/>
        <v>0</v>
      </c>
      <c r="N193" s="3">
        <f t="shared" ca="1" si="26"/>
        <v>0</v>
      </c>
      <c r="O193">
        <f t="shared" ca="1" si="27"/>
        <v>0</v>
      </c>
      <c r="R193" s="1"/>
    </row>
    <row r="194" spans="7:18" x14ac:dyDescent="0.25">
      <c r="G194" t="str">
        <f t="shared" si="34"/>
        <v>D10-R10</v>
      </c>
      <c r="H194" t="str">
        <f>$A$24</f>
        <v>D20-R20</v>
      </c>
      <c r="I194" s="13" t="str">
        <f t="shared" ca="1" si="35"/>
        <v>AB</v>
      </c>
      <c r="J194" s="13" t="str">
        <f t="shared" ca="1" si="36"/>
        <v>Frequent</v>
      </c>
      <c r="K194" s="12" t="str">
        <f ca="1">$D$24</f>
        <v>AB</v>
      </c>
      <c r="L194" s="11" t="str">
        <f ca="1">$E$24</f>
        <v>Rare</v>
      </c>
      <c r="M194" s="13">
        <f t="shared" ca="1" si="26"/>
        <v>1</v>
      </c>
      <c r="N194" s="3">
        <f t="shared" ca="1" si="26"/>
        <v>0</v>
      </c>
      <c r="O194">
        <f t="shared" ca="1" si="27"/>
        <v>0</v>
      </c>
      <c r="R194" s="1"/>
    </row>
    <row r="195" spans="7:18" x14ac:dyDescent="0.25">
      <c r="G195" t="str">
        <f>$A$15</f>
        <v>D11-R11</v>
      </c>
      <c r="H195" t="str">
        <f>$A$5</f>
        <v>D1-R1</v>
      </c>
      <c r="I195" s="13" t="str">
        <f ca="1">$B$15</f>
        <v>O</v>
      </c>
      <c r="J195" s="13" t="str">
        <f ca="1">$C$15</f>
        <v>Rare</v>
      </c>
      <c r="K195" s="16" t="str">
        <f ca="1">$D$5</f>
        <v>O</v>
      </c>
      <c r="L195" s="13" t="str">
        <f ca="1">$E$5</f>
        <v>Rare</v>
      </c>
      <c r="M195" s="13">
        <f t="shared" ca="1" si="26"/>
        <v>1</v>
      </c>
      <c r="N195" s="3">
        <f t="shared" ca="1" si="26"/>
        <v>1</v>
      </c>
      <c r="O195">
        <f t="shared" ca="1" si="27"/>
        <v>1</v>
      </c>
      <c r="R195" s="1"/>
    </row>
    <row r="196" spans="7:18" x14ac:dyDescent="0.25">
      <c r="G196" t="str">
        <f t="shared" ref="G196:G213" si="37">$A$15</f>
        <v>D11-R11</v>
      </c>
      <c r="H196" t="str">
        <f>$A$6</f>
        <v>D2-R2</v>
      </c>
      <c r="I196" s="13" t="str">
        <f t="shared" ref="I196:I213" ca="1" si="38">$B$15</f>
        <v>O</v>
      </c>
      <c r="J196" s="13" t="str">
        <f t="shared" ref="J196:J213" ca="1" si="39">$C$15</f>
        <v>Rare</v>
      </c>
      <c r="K196" s="16" t="str">
        <f ca="1">$D$6</f>
        <v>AB</v>
      </c>
      <c r="L196" s="13" t="str">
        <f ca="1">$E$6</f>
        <v>Frequent</v>
      </c>
      <c r="M196" s="13">
        <f t="shared" ca="1" si="26"/>
        <v>1</v>
      </c>
      <c r="N196" s="3">
        <f t="shared" ca="1" si="26"/>
        <v>1</v>
      </c>
      <c r="O196">
        <f t="shared" ca="1" si="27"/>
        <v>1</v>
      </c>
      <c r="R196" s="1"/>
    </row>
    <row r="197" spans="7:18" x14ac:dyDescent="0.25">
      <c r="G197" t="str">
        <f t="shared" si="37"/>
        <v>D11-R11</v>
      </c>
      <c r="H197" t="str">
        <f>$A$7</f>
        <v>D3-R3</v>
      </c>
      <c r="I197" s="13" t="str">
        <f t="shared" ca="1" si="38"/>
        <v>O</v>
      </c>
      <c r="J197" s="13" t="str">
        <f t="shared" ca="1" si="39"/>
        <v>Rare</v>
      </c>
      <c r="K197" s="12" t="str">
        <f ca="1">$D$7</f>
        <v>B</v>
      </c>
      <c r="L197" s="11" t="str">
        <f ca="1">$E$7</f>
        <v>Frequent</v>
      </c>
      <c r="M197" s="13">
        <f t="shared" ca="1" si="26"/>
        <v>1</v>
      </c>
      <c r="N197" s="3">
        <f t="shared" ca="1" si="26"/>
        <v>1</v>
      </c>
      <c r="O197">
        <f t="shared" ca="1" si="27"/>
        <v>1</v>
      </c>
      <c r="R197" s="1"/>
    </row>
    <row r="198" spans="7:18" x14ac:dyDescent="0.25">
      <c r="G198" t="str">
        <f t="shared" si="37"/>
        <v>D11-R11</v>
      </c>
      <c r="H198" t="str">
        <f>$A$8</f>
        <v>D4-R4</v>
      </c>
      <c r="I198" s="13" t="str">
        <f t="shared" ca="1" si="38"/>
        <v>O</v>
      </c>
      <c r="J198" s="13" t="str">
        <f t="shared" ca="1" si="39"/>
        <v>Rare</v>
      </c>
      <c r="K198" s="17" t="str">
        <f ca="1">$D$8</f>
        <v>A</v>
      </c>
      <c r="L198" s="15" t="str">
        <f ca="1">$E$8</f>
        <v>Frequent</v>
      </c>
      <c r="M198" s="13">
        <f t="shared" ref="M198:N261" ca="1" si="40">checkFeasibility(I198,K198)</f>
        <v>1</v>
      </c>
      <c r="N198" s="3">
        <f t="shared" ca="1" si="40"/>
        <v>1</v>
      </c>
      <c r="O198">
        <f t="shared" ref="O198:O261" ca="1" si="41">IF(SUM(M198,N198)=2,1,0)</f>
        <v>1</v>
      </c>
      <c r="R198" s="1"/>
    </row>
    <row r="199" spans="7:18" x14ac:dyDescent="0.25">
      <c r="G199" t="str">
        <f t="shared" si="37"/>
        <v>D11-R11</v>
      </c>
      <c r="H199" t="str">
        <f>$A$9</f>
        <v>D5-R5</v>
      </c>
      <c r="I199" s="13" t="str">
        <f t="shared" ca="1" si="38"/>
        <v>O</v>
      </c>
      <c r="J199" s="13" t="str">
        <f t="shared" ca="1" si="39"/>
        <v>Rare</v>
      </c>
      <c r="K199" s="17" t="str">
        <f ca="1">$D$9</f>
        <v>AB</v>
      </c>
      <c r="L199" s="15" t="str">
        <f ca="1">$E$9</f>
        <v>Rare</v>
      </c>
      <c r="M199" s="13">
        <f t="shared" ca="1" si="40"/>
        <v>1</v>
      </c>
      <c r="N199" s="3">
        <f t="shared" ca="1" si="40"/>
        <v>1</v>
      </c>
      <c r="O199">
        <f t="shared" ca="1" si="41"/>
        <v>1</v>
      </c>
      <c r="R199" s="1"/>
    </row>
    <row r="200" spans="7:18" x14ac:dyDescent="0.25">
      <c r="G200" t="str">
        <f t="shared" si="37"/>
        <v>D11-R11</v>
      </c>
      <c r="H200" t="str">
        <f>$A$10</f>
        <v>D6-R6</v>
      </c>
      <c r="I200" s="13" t="str">
        <f t="shared" ca="1" si="38"/>
        <v>O</v>
      </c>
      <c r="J200" s="13" t="str">
        <f t="shared" ca="1" si="39"/>
        <v>Rare</v>
      </c>
      <c r="K200" s="17" t="str">
        <f ca="1">$D$10</f>
        <v>AB</v>
      </c>
      <c r="L200" s="15" t="str">
        <f ca="1">$E$10</f>
        <v>Frequent</v>
      </c>
      <c r="M200" s="13">
        <f t="shared" ca="1" si="40"/>
        <v>1</v>
      </c>
      <c r="N200" s="3">
        <f t="shared" ca="1" si="40"/>
        <v>1</v>
      </c>
      <c r="O200">
        <f t="shared" ca="1" si="41"/>
        <v>1</v>
      </c>
      <c r="R200" s="1"/>
    </row>
    <row r="201" spans="7:18" x14ac:dyDescent="0.25">
      <c r="G201" t="str">
        <f t="shared" si="37"/>
        <v>D11-R11</v>
      </c>
      <c r="H201" t="str">
        <f>$A$11</f>
        <v>D7-R7</v>
      </c>
      <c r="I201" s="13" t="str">
        <f t="shared" ca="1" si="38"/>
        <v>O</v>
      </c>
      <c r="J201" s="13" t="str">
        <f t="shared" ca="1" si="39"/>
        <v>Rare</v>
      </c>
      <c r="K201" s="17" t="str">
        <f ca="1">$D$11</f>
        <v>O</v>
      </c>
      <c r="L201" s="15" t="str">
        <f ca="1">$E$11</f>
        <v>Frequent</v>
      </c>
      <c r="M201" s="13">
        <f t="shared" ca="1" si="40"/>
        <v>1</v>
      </c>
      <c r="N201" s="3">
        <f t="shared" ca="1" si="40"/>
        <v>1</v>
      </c>
      <c r="O201">
        <f t="shared" ca="1" si="41"/>
        <v>1</v>
      </c>
      <c r="R201" s="1"/>
    </row>
    <row r="202" spans="7:18" x14ac:dyDescent="0.25">
      <c r="G202" t="str">
        <f t="shared" si="37"/>
        <v>D11-R11</v>
      </c>
      <c r="H202" t="str">
        <f>$A$12</f>
        <v>D8-R8</v>
      </c>
      <c r="I202" s="13" t="str">
        <f t="shared" ca="1" si="38"/>
        <v>O</v>
      </c>
      <c r="J202" s="13" t="str">
        <f t="shared" ca="1" si="39"/>
        <v>Rare</v>
      </c>
      <c r="K202" s="17" t="str">
        <f ca="1">$D$12</f>
        <v>B</v>
      </c>
      <c r="L202" s="15" t="str">
        <f ca="1">$E$12</f>
        <v>Rare</v>
      </c>
      <c r="M202" s="13">
        <f t="shared" ca="1" si="40"/>
        <v>1</v>
      </c>
      <c r="N202" s="3">
        <f t="shared" ca="1" si="40"/>
        <v>1</v>
      </c>
      <c r="O202">
        <f t="shared" ca="1" si="41"/>
        <v>1</v>
      </c>
      <c r="R202" s="1"/>
    </row>
    <row r="203" spans="7:18" x14ac:dyDescent="0.25">
      <c r="G203" t="str">
        <f t="shared" si="37"/>
        <v>D11-R11</v>
      </c>
      <c r="H203" t="str">
        <f>$A$13</f>
        <v>D9-R9</v>
      </c>
      <c r="I203" s="13" t="str">
        <f t="shared" ca="1" si="38"/>
        <v>O</v>
      </c>
      <c r="J203" s="13" t="str">
        <f t="shared" ca="1" si="39"/>
        <v>Rare</v>
      </c>
      <c r="K203" s="17" t="str">
        <f ca="1">$D$13</f>
        <v>A</v>
      </c>
      <c r="L203" s="15" t="str">
        <f ca="1">$E$13</f>
        <v>Frequent</v>
      </c>
      <c r="M203" s="13">
        <f t="shared" ca="1" si="40"/>
        <v>1</v>
      </c>
      <c r="N203" s="3">
        <f t="shared" ca="1" si="40"/>
        <v>1</v>
      </c>
      <c r="O203">
        <f t="shared" ca="1" si="41"/>
        <v>1</v>
      </c>
      <c r="R203" s="1"/>
    </row>
    <row r="204" spans="7:18" x14ac:dyDescent="0.25">
      <c r="G204" t="str">
        <f t="shared" si="37"/>
        <v>D11-R11</v>
      </c>
      <c r="H204" t="str">
        <f>$A$14</f>
        <v>D10-R10</v>
      </c>
      <c r="I204" s="13" t="str">
        <f t="shared" ca="1" si="38"/>
        <v>O</v>
      </c>
      <c r="J204" s="13" t="str">
        <f t="shared" ca="1" si="39"/>
        <v>Rare</v>
      </c>
      <c r="K204" s="12" t="str">
        <f ca="1">$D$14</f>
        <v>A</v>
      </c>
      <c r="L204" s="11" t="str">
        <f ca="1">$E$14</f>
        <v>Frequent</v>
      </c>
      <c r="M204" s="13">
        <f t="shared" ca="1" si="40"/>
        <v>1</v>
      </c>
      <c r="N204" s="3">
        <f t="shared" ca="1" si="40"/>
        <v>1</v>
      </c>
      <c r="O204">
        <f t="shared" ca="1" si="41"/>
        <v>1</v>
      </c>
      <c r="R204" s="1"/>
    </row>
    <row r="205" spans="7:18" x14ac:dyDescent="0.25">
      <c r="G205" t="str">
        <f t="shared" si="37"/>
        <v>D11-R11</v>
      </c>
      <c r="H205" t="str">
        <f>$A$16</f>
        <v>D12-R12</v>
      </c>
      <c r="I205" s="13" t="str">
        <f t="shared" ca="1" si="38"/>
        <v>O</v>
      </c>
      <c r="J205" s="13" t="str">
        <f t="shared" ca="1" si="39"/>
        <v>Rare</v>
      </c>
      <c r="K205" s="17" t="str">
        <f ca="1">$D$16</f>
        <v>B</v>
      </c>
      <c r="L205" s="15" t="str">
        <f ca="1">$E$16</f>
        <v>Rare</v>
      </c>
      <c r="M205" s="13">
        <f t="shared" ca="1" si="40"/>
        <v>1</v>
      </c>
      <c r="N205" s="3">
        <f t="shared" ca="1" si="40"/>
        <v>1</v>
      </c>
      <c r="O205">
        <f t="shared" ca="1" si="41"/>
        <v>1</v>
      </c>
      <c r="R205" s="1"/>
    </row>
    <row r="206" spans="7:18" x14ac:dyDescent="0.25">
      <c r="G206" t="str">
        <f t="shared" si="37"/>
        <v>D11-R11</v>
      </c>
      <c r="H206" t="str">
        <f>$A$17</f>
        <v>D13-R13</v>
      </c>
      <c r="I206" s="13" t="str">
        <f t="shared" ca="1" si="38"/>
        <v>O</v>
      </c>
      <c r="J206" s="13" t="str">
        <f t="shared" ca="1" si="39"/>
        <v>Rare</v>
      </c>
      <c r="K206" s="17" t="str">
        <f ca="1">$D$17</f>
        <v>AB</v>
      </c>
      <c r="L206" s="15" t="str">
        <f ca="1">$E$17</f>
        <v>Frequent</v>
      </c>
      <c r="M206" s="13">
        <f t="shared" ca="1" si="40"/>
        <v>1</v>
      </c>
      <c r="N206" s="3">
        <f t="shared" ca="1" si="40"/>
        <v>1</v>
      </c>
      <c r="O206">
        <f t="shared" ca="1" si="41"/>
        <v>1</v>
      </c>
      <c r="R206" s="1"/>
    </row>
    <row r="207" spans="7:18" x14ac:dyDescent="0.25">
      <c r="G207" t="str">
        <f t="shared" si="37"/>
        <v>D11-R11</v>
      </c>
      <c r="H207" t="str">
        <f>$A$18</f>
        <v>D14-R14</v>
      </c>
      <c r="I207" s="13" t="str">
        <f t="shared" ca="1" si="38"/>
        <v>O</v>
      </c>
      <c r="J207" s="13" t="str">
        <f t="shared" ca="1" si="39"/>
        <v>Rare</v>
      </c>
      <c r="K207" s="17" t="str">
        <f ca="1">$D$18</f>
        <v>B</v>
      </c>
      <c r="L207" s="15" t="str">
        <f ca="1">$E$18</f>
        <v>Frequent</v>
      </c>
      <c r="M207" s="13">
        <f t="shared" ca="1" si="40"/>
        <v>1</v>
      </c>
      <c r="N207" s="3">
        <f t="shared" ca="1" si="40"/>
        <v>1</v>
      </c>
      <c r="O207">
        <f t="shared" ca="1" si="41"/>
        <v>1</v>
      </c>
      <c r="R207" s="1"/>
    </row>
    <row r="208" spans="7:18" x14ac:dyDescent="0.25">
      <c r="G208" t="str">
        <f t="shared" si="37"/>
        <v>D11-R11</v>
      </c>
      <c r="H208" t="str">
        <f>$A$19</f>
        <v>D15-R15</v>
      </c>
      <c r="I208" s="13" t="str">
        <f t="shared" ca="1" si="38"/>
        <v>O</v>
      </c>
      <c r="J208" s="13" t="str">
        <f t="shared" ca="1" si="39"/>
        <v>Rare</v>
      </c>
      <c r="K208" s="17" t="str">
        <f ca="1">$D$19</f>
        <v>B</v>
      </c>
      <c r="L208" s="15" t="str">
        <f ca="1">$E$19</f>
        <v>Frequent</v>
      </c>
      <c r="M208" s="13">
        <f t="shared" ca="1" si="40"/>
        <v>1</v>
      </c>
      <c r="N208" s="3">
        <f t="shared" ca="1" si="40"/>
        <v>1</v>
      </c>
      <c r="O208">
        <f t="shared" ca="1" si="41"/>
        <v>1</v>
      </c>
      <c r="R208" s="1"/>
    </row>
    <row r="209" spans="7:18" x14ac:dyDescent="0.25">
      <c r="G209" t="str">
        <f t="shared" si="37"/>
        <v>D11-R11</v>
      </c>
      <c r="H209" t="str">
        <f>$A$20</f>
        <v>D16-R16</v>
      </c>
      <c r="I209" s="13" t="str">
        <f t="shared" ca="1" si="38"/>
        <v>O</v>
      </c>
      <c r="J209" s="13" t="str">
        <f t="shared" ca="1" si="39"/>
        <v>Rare</v>
      </c>
      <c r="K209" s="17" t="str">
        <f ca="1">$D$20</f>
        <v>B</v>
      </c>
      <c r="L209" s="15" t="str">
        <f ca="1">$E$20</f>
        <v>Frequent</v>
      </c>
      <c r="M209" s="13">
        <f t="shared" ca="1" si="40"/>
        <v>1</v>
      </c>
      <c r="N209" s="3">
        <f t="shared" ca="1" si="40"/>
        <v>1</v>
      </c>
      <c r="O209">
        <f t="shared" ca="1" si="41"/>
        <v>1</v>
      </c>
      <c r="R209" s="1"/>
    </row>
    <row r="210" spans="7:18" x14ac:dyDescent="0.25">
      <c r="G210" t="str">
        <f t="shared" si="37"/>
        <v>D11-R11</v>
      </c>
      <c r="H210" t="str">
        <f>$A$21</f>
        <v>D17-R17</v>
      </c>
      <c r="I210" s="13" t="str">
        <f t="shared" ca="1" si="38"/>
        <v>O</v>
      </c>
      <c r="J210" s="13" t="str">
        <f t="shared" ca="1" si="39"/>
        <v>Rare</v>
      </c>
      <c r="K210" s="12" t="str">
        <f ca="1">$D$21</f>
        <v>B</v>
      </c>
      <c r="L210" s="11" t="str">
        <f ca="1">$E$21</f>
        <v>Rare</v>
      </c>
      <c r="M210" s="13">
        <f t="shared" ca="1" si="40"/>
        <v>1</v>
      </c>
      <c r="N210" s="3">
        <f t="shared" ca="1" si="40"/>
        <v>1</v>
      </c>
      <c r="O210">
        <f t="shared" ca="1" si="41"/>
        <v>1</v>
      </c>
      <c r="R210" s="1"/>
    </row>
    <row r="211" spans="7:18" x14ac:dyDescent="0.25">
      <c r="G211" t="str">
        <f t="shared" si="37"/>
        <v>D11-R11</v>
      </c>
      <c r="H211" t="str">
        <f>$A$22</f>
        <v>D18-R18</v>
      </c>
      <c r="I211" s="13" t="str">
        <f t="shared" ca="1" si="38"/>
        <v>O</v>
      </c>
      <c r="J211" s="13" t="str">
        <f t="shared" ca="1" si="39"/>
        <v>Rare</v>
      </c>
      <c r="K211" s="12" t="str">
        <f ca="1">$D$22</f>
        <v>A</v>
      </c>
      <c r="L211" s="11" t="str">
        <f ca="1">$E$22</f>
        <v>Rare</v>
      </c>
      <c r="M211" s="13">
        <f t="shared" ca="1" si="40"/>
        <v>1</v>
      </c>
      <c r="N211" s="3">
        <f t="shared" ca="1" si="40"/>
        <v>1</v>
      </c>
      <c r="O211">
        <f t="shared" ca="1" si="41"/>
        <v>1</v>
      </c>
      <c r="R211" s="1"/>
    </row>
    <row r="212" spans="7:18" x14ac:dyDescent="0.25">
      <c r="G212" t="str">
        <f t="shared" si="37"/>
        <v>D11-R11</v>
      </c>
      <c r="H212" t="str">
        <f>$A$23</f>
        <v>D19-R19</v>
      </c>
      <c r="I212" s="13" t="str">
        <f t="shared" ca="1" si="38"/>
        <v>O</v>
      </c>
      <c r="J212" s="13" t="str">
        <f t="shared" ca="1" si="39"/>
        <v>Rare</v>
      </c>
      <c r="K212" s="12" t="str">
        <f ca="1">$D$23</f>
        <v>B</v>
      </c>
      <c r="L212" s="11" t="str">
        <f ca="1">$E$23</f>
        <v>Rare</v>
      </c>
      <c r="M212" s="13">
        <f t="shared" ca="1" si="40"/>
        <v>1</v>
      </c>
      <c r="N212" s="3">
        <f t="shared" ca="1" si="40"/>
        <v>1</v>
      </c>
      <c r="O212">
        <f t="shared" ca="1" si="41"/>
        <v>1</v>
      </c>
      <c r="R212" s="1"/>
    </row>
    <row r="213" spans="7:18" x14ac:dyDescent="0.25">
      <c r="G213" t="str">
        <f t="shared" si="37"/>
        <v>D11-R11</v>
      </c>
      <c r="H213" t="str">
        <f>$A$24</f>
        <v>D20-R20</v>
      </c>
      <c r="I213" s="13" t="str">
        <f t="shared" ca="1" si="38"/>
        <v>O</v>
      </c>
      <c r="J213" s="13" t="str">
        <f t="shared" ca="1" si="39"/>
        <v>Rare</v>
      </c>
      <c r="K213" s="12" t="str">
        <f ca="1">$D$24</f>
        <v>AB</v>
      </c>
      <c r="L213" s="11" t="str">
        <f ca="1">$E$24</f>
        <v>Rare</v>
      </c>
      <c r="M213" s="13">
        <f t="shared" ca="1" si="40"/>
        <v>1</v>
      </c>
      <c r="N213" s="3">
        <f t="shared" ca="1" si="40"/>
        <v>1</v>
      </c>
      <c r="O213">
        <f t="shared" ca="1" si="41"/>
        <v>1</v>
      </c>
      <c r="R213" s="1"/>
    </row>
    <row r="214" spans="7:18" x14ac:dyDescent="0.25">
      <c r="G214" t="str">
        <f>$A$16</f>
        <v>D12-R12</v>
      </c>
      <c r="H214" t="str">
        <f>$A$5</f>
        <v>D1-R1</v>
      </c>
      <c r="I214" s="13" t="str">
        <f ca="1">$B$16</f>
        <v>O</v>
      </c>
      <c r="J214" s="13" t="str">
        <f ca="1">$C$16</f>
        <v>Rare</v>
      </c>
      <c r="K214" s="16" t="str">
        <f ca="1">$D$5</f>
        <v>O</v>
      </c>
      <c r="L214" s="13" t="str">
        <f ca="1">$E$5</f>
        <v>Rare</v>
      </c>
      <c r="M214" s="13">
        <f t="shared" ca="1" si="40"/>
        <v>1</v>
      </c>
      <c r="N214" s="3">
        <f t="shared" ca="1" si="40"/>
        <v>1</v>
      </c>
      <c r="O214">
        <f t="shared" ca="1" si="41"/>
        <v>1</v>
      </c>
      <c r="R214" s="1"/>
    </row>
    <row r="215" spans="7:18" x14ac:dyDescent="0.25">
      <c r="G215" t="str">
        <f t="shared" ref="G215:G232" si="42">$A$16</f>
        <v>D12-R12</v>
      </c>
      <c r="H215" t="str">
        <f>$A$6</f>
        <v>D2-R2</v>
      </c>
      <c r="I215" s="13" t="str">
        <f t="shared" ref="I215:I232" ca="1" si="43">$B$16</f>
        <v>O</v>
      </c>
      <c r="J215" s="13" t="str">
        <f t="shared" ref="J215:J232" ca="1" si="44">$C$16</f>
        <v>Rare</v>
      </c>
      <c r="K215" s="16" t="str">
        <f ca="1">$D$6</f>
        <v>AB</v>
      </c>
      <c r="L215" s="13" t="str">
        <f ca="1">$E$6</f>
        <v>Frequent</v>
      </c>
      <c r="M215" s="13">
        <f t="shared" ca="1" si="40"/>
        <v>1</v>
      </c>
      <c r="N215" s="3">
        <f t="shared" ca="1" si="40"/>
        <v>1</v>
      </c>
      <c r="O215">
        <f t="shared" ca="1" si="41"/>
        <v>1</v>
      </c>
      <c r="R215" s="1"/>
    </row>
    <row r="216" spans="7:18" x14ac:dyDescent="0.25">
      <c r="G216" t="str">
        <f t="shared" si="42"/>
        <v>D12-R12</v>
      </c>
      <c r="H216" t="str">
        <f>$A$7</f>
        <v>D3-R3</v>
      </c>
      <c r="I216" s="13" t="str">
        <f t="shared" ca="1" si="43"/>
        <v>O</v>
      </c>
      <c r="J216" s="13" t="str">
        <f t="shared" ca="1" si="44"/>
        <v>Rare</v>
      </c>
      <c r="K216" s="12" t="str">
        <f ca="1">$D$7</f>
        <v>B</v>
      </c>
      <c r="L216" s="11" t="str">
        <f ca="1">$E$7</f>
        <v>Frequent</v>
      </c>
      <c r="M216" s="13">
        <f t="shared" ca="1" si="40"/>
        <v>1</v>
      </c>
      <c r="N216" s="3">
        <f t="shared" ca="1" si="40"/>
        <v>1</v>
      </c>
      <c r="O216">
        <f t="shared" ca="1" si="41"/>
        <v>1</v>
      </c>
      <c r="R216" s="1"/>
    </row>
    <row r="217" spans="7:18" x14ac:dyDescent="0.25">
      <c r="G217" t="str">
        <f t="shared" si="42"/>
        <v>D12-R12</v>
      </c>
      <c r="H217" t="str">
        <f>$A$8</f>
        <v>D4-R4</v>
      </c>
      <c r="I217" s="13" t="str">
        <f t="shared" ca="1" si="43"/>
        <v>O</v>
      </c>
      <c r="J217" s="13" t="str">
        <f t="shared" ca="1" si="44"/>
        <v>Rare</v>
      </c>
      <c r="K217" s="17" t="str">
        <f ca="1">$D$8</f>
        <v>A</v>
      </c>
      <c r="L217" s="15" t="str">
        <f ca="1">$E$8</f>
        <v>Frequent</v>
      </c>
      <c r="M217" s="13">
        <f t="shared" ca="1" si="40"/>
        <v>1</v>
      </c>
      <c r="N217" s="3">
        <f t="shared" ca="1" si="40"/>
        <v>1</v>
      </c>
      <c r="O217">
        <f t="shared" ca="1" si="41"/>
        <v>1</v>
      </c>
      <c r="R217" s="1"/>
    </row>
    <row r="218" spans="7:18" x14ac:dyDescent="0.25">
      <c r="G218" t="str">
        <f t="shared" si="42"/>
        <v>D12-R12</v>
      </c>
      <c r="H218" t="str">
        <f>$A$9</f>
        <v>D5-R5</v>
      </c>
      <c r="I218" s="13" t="str">
        <f t="shared" ca="1" si="43"/>
        <v>O</v>
      </c>
      <c r="J218" s="13" t="str">
        <f t="shared" ca="1" si="44"/>
        <v>Rare</v>
      </c>
      <c r="K218" s="17" t="str">
        <f ca="1">$D$9</f>
        <v>AB</v>
      </c>
      <c r="L218" s="15" t="str">
        <f ca="1">$E$9</f>
        <v>Rare</v>
      </c>
      <c r="M218" s="13">
        <f t="shared" ca="1" si="40"/>
        <v>1</v>
      </c>
      <c r="N218" s="3">
        <f t="shared" ca="1" si="40"/>
        <v>1</v>
      </c>
      <c r="O218">
        <f t="shared" ca="1" si="41"/>
        <v>1</v>
      </c>
      <c r="R218" s="1"/>
    </row>
    <row r="219" spans="7:18" x14ac:dyDescent="0.25">
      <c r="G219" t="str">
        <f t="shared" si="42"/>
        <v>D12-R12</v>
      </c>
      <c r="H219" t="str">
        <f>$A$10</f>
        <v>D6-R6</v>
      </c>
      <c r="I219" s="13" t="str">
        <f t="shared" ca="1" si="43"/>
        <v>O</v>
      </c>
      <c r="J219" s="13" t="str">
        <f t="shared" ca="1" si="44"/>
        <v>Rare</v>
      </c>
      <c r="K219" s="17" t="str">
        <f ca="1">$D$10</f>
        <v>AB</v>
      </c>
      <c r="L219" s="15" t="str">
        <f ca="1">$E$10</f>
        <v>Frequent</v>
      </c>
      <c r="M219" s="13">
        <f t="shared" ca="1" si="40"/>
        <v>1</v>
      </c>
      <c r="N219" s="3">
        <f t="shared" ca="1" si="40"/>
        <v>1</v>
      </c>
      <c r="O219">
        <f t="shared" ca="1" si="41"/>
        <v>1</v>
      </c>
      <c r="R219" s="1"/>
    </row>
    <row r="220" spans="7:18" x14ac:dyDescent="0.25">
      <c r="G220" t="str">
        <f t="shared" si="42"/>
        <v>D12-R12</v>
      </c>
      <c r="H220" t="str">
        <f>$A$11</f>
        <v>D7-R7</v>
      </c>
      <c r="I220" s="13" t="str">
        <f t="shared" ca="1" si="43"/>
        <v>O</v>
      </c>
      <c r="J220" s="13" t="str">
        <f t="shared" ca="1" si="44"/>
        <v>Rare</v>
      </c>
      <c r="K220" s="17" t="str">
        <f ca="1">$D$11</f>
        <v>O</v>
      </c>
      <c r="L220" s="15" t="str">
        <f ca="1">$E$11</f>
        <v>Frequent</v>
      </c>
      <c r="M220" s="13">
        <f t="shared" ca="1" si="40"/>
        <v>1</v>
      </c>
      <c r="N220" s="3">
        <f t="shared" ca="1" si="40"/>
        <v>1</v>
      </c>
      <c r="O220">
        <f t="shared" ca="1" si="41"/>
        <v>1</v>
      </c>
      <c r="R220" s="1"/>
    </row>
    <row r="221" spans="7:18" x14ac:dyDescent="0.25">
      <c r="G221" t="str">
        <f t="shared" si="42"/>
        <v>D12-R12</v>
      </c>
      <c r="H221" t="str">
        <f>$A$12</f>
        <v>D8-R8</v>
      </c>
      <c r="I221" s="13" t="str">
        <f t="shared" ca="1" si="43"/>
        <v>O</v>
      </c>
      <c r="J221" s="13" t="str">
        <f t="shared" ca="1" si="44"/>
        <v>Rare</v>
      </c>
      <c r="K221" s="17" t="str">
        <f ca="1">$D$12</f>
        <v>B</v>
      </c>
      <c r="L221" s="15" t="str">
        <f ca="1">$E$12</f>
        <v>Rare</v>
      </c>
      <c r="M221" s="13">
        <f t="shared" ca="1" si="40"/>
        <v>1</v>
      </c>
      <c r="N221" s="3">
        <f t="shared" ca="1" si="40"/>
        <v>1</v>
      </c>
      <c r="O221">
        <f t="shared" ca="1" si="41"/>
        <v>1</v>
      </c>
      <c r="R221" s="1"/>
    </row>
    <row r="222" spans="7:18" x14ac:dyDescent="0.25">
      <c r="G222" t="str">
        <f t="shared" si="42"/>
        <v>D12-R12</v>
      </c>
      <c r="H222" t="str">
        <f>$A$13</f>
        <v>D9-R9</v>
      </c>
      <c r="I222" s="13" t="str">
        <f t="shared" ca="1" si="43"/>
        <v>O</v>
      </c>
      <c r="J222" s="13" t="str">
        <f t="shared" ca="1" si="44"/>
        <v>Rare</v>
      </c>
      <c r="K222" s="17" t="str">
        <f ca="1">$D$13</f>
        <v>A</v>
      </c>
      <c r="L222" s="15" t="str">
        <f ca="1">$E$13</f>
        <v>Frequent</v>
      </c>
      <c r="M222" s="13">
        <f t="shared" ca="1" si="40"/>
        <v>1</v>
      </c>
      <c r="N222" s="3">
        <f t="shared" ca="1" si="40"/>
        <v>1</v>
      </c>
      <c r="O222">
        <f t="shared" ca="1" si="41"/>
        <v>1</v>
      </c>
      <c r="R222" s="1"/>
    </row>
    <row r="223" spans="7:18" x14ac:dyDescent="0.25">
      <c r="G223" t="str">
        <f t="shared" si="42"/>
        <v>D12-R12</v>
      </c>
      <c r="H223" t="str">
        <f>$A$14</f>
        <v>D10-R10</v>
      </c>
      <c r="I223" s="13" t="str">
        <f t="shared" ca="1" si="43"/>
        <v>O</v>
      </c>
      <c r="J223" s="13" t="str">
        <f t="shared" ca="1" si="44"/>
        <v>Rare</v>
      </c>
      <c r="K223" s="12" t="str">
        <f ca="1">$D$14</f>
        <v>A</v>
      </c>
      <c r="L223" s="11" t="str">
        <f ca="1">$E$14</f>
        <v>Frequent</v>
      </c>
      <c r="M223" s="13">
        <f t="shared" ca="1" si="40"/>
        <v>1</v>
      </c>
      <c r="N223" s="3">
        <f t="shared" ca="1" si="40"/>
        <v>1</v>
      </c>
      <c r="O223">
        <f t="shared" ca="1" si="41"/>
        <v>1</v>
      </c>
      <c r="R223" s="1"/>
    </row>
    <row r="224" spans="7:18" x14ac:dyDescent="0.25">
      <c r="G224" t="str">
        <f t="shared" si="42"/>
        <v>D12-R12</v>
      </c>
      <c r="H224" t="str">
        <f>$A$15</f>
        <v>D11-R11</v>
      </c>
      <c r="I224" s="13" t="str">
        <f t="shared" ca="1" si="43"/>
        <v>O</v>
      </c>
      <c r="J224" s="13" t="str">
        <f t="shared" ca="1" si="44"/>
        <v>Rare</v>
      </c>
      <c r="K224" s="17" t="str">
        <f ca="1">$D$15</f>
        <v>AB</v>
      </c>
      <c r="L224" s="15" t="str">
        <f ca="1">$E$15</f>
        <v>Frequent</v>
      </c>
      <c r="M224" s="13">
        <f t="shared" ca="1" si="40"/>
        <v>1</v>
      </c>
      <c r="N224" s="3">
        <f t="shared" ca="1" si="40"/>
        <v>1</v>
      </c>
      <c r="O224">
        <f t="shared" ca="1" si="41"/>
        <v>1</v>
      </c>
      <c r="R224" s="1"/>
    </row>
    <row r="225" spans="7:18" x14ac:dyDescent="0.25">
      <c r="G225" t="str">
        <f t="shared" si="42"/>
        <v>D12-R12</v>
      </c>
      <c r="H225" t="str">
        <f>$A$17</f>
        <v>D13-R13</v>
      </c>
      <c r="I225" s="13" t="str">
        <f t="shared" ca="1" si="43"/>
        <v>O</v>
      </c>
      <c r="J225" s="13" t="str">
        <f t="shared" ca="1" si="44"/>
        <v>Rare</v>
      </c>
      <c r="K225" s="17" t="str">
        <f ca="1">$D$17</f>
        <v>AB</v>
      </c>
      <c r="L225" s="15" t="str">
        <f ca="1">$E$17</f>
        <v>Frequent</v>
      </c>
      <c r="M225" s="13">
        <f t="shared" ca="1" si="40"/>
        <v>1</v>
      </c>
      <c r="N225" s="3">
        <f t="shared" ca="1" si="40"/>
        <v>1</v>
      </c>
      <c r="O225">
        <f t="shared" ca="1" si="41"/>
        <v>1</v>
      </c>
      <c r="R225" s="1"/>
    </row>
    <row r="226" spans="7:18" x14ac:dyDescent="0.25">
      <c r="G226" t="str">
        <f t="shared" si="42"/>
        <v>D12-R12</v>
      </c>
      <c r="H226" t="str">
        <f>$A$18</f>
        <v>D14-R14</v>
      </c>
      <c r="I226" s="13" t="str">
        <f t="shared" ca="1" si="43"/>
        <v>O</v>
      </c>
      <c r="J226" s="13" t="str">
        <f t="shared" ca="1" si="44"/>
        <v>Rare</v>
      </c>
      <c r="K226" s="17" t="str">
        <f ca="1">$D$18</f>
        <v>B</v>
      </c>
      <c r="L226" s="15" t="str">
        <f ca="1">$E$18</f>
        <v>Frequent</v>
      </c>
      <c r="M226" s="13">
        <f t="shared" ca="1" si="40"/>
        <v>1</v>
      </c>
      <c r="N226" s="3">
        <f t="shared" ca="1" si="40"/>
        <v>1</v>
      </c>
      <c r="O226">
        <f t="shared" ca="1" si="41"/>
        <v>1</v>
      </c>
      <c r="R226" s="1"/>
    </row>
    <row r="227" spans="7:18" x14ac:dyDescent="0.25">
      <c r="G227" t="str">
        <f t="shared" si="42"/>
        <v>D12-R12</v>
      </c>
      <c r="H227" t="str">
        <f>$A$19</f>
        <v>D15-R15</v>
      </c>
      <c r="I227" s="13" t="str">
        <f t="shared" ca="1" si="43"/>
        <v>O</v>
      </c>
      <c r="J227" s="13" t="str">
        <f t="shared" ca="1" si="44"/>
        <v>Rare</v>
      </c>
      <c r="K227" s="17" t="str">
        <f ca="1">$D$19</f>
        <v>B</v>
      </c>
      <c r="L227" s="15" t="str">
        <f ca="1">$E$19</f>
        <v>Frequent</v>
      </c>
      <c r="M227" s="13">
        <f t="shared" ca="1" si="40"/>
        <v>1</v>
      </c>
      <c r="N227" s="3">
        <f t="shared" ca="1" si="40"/>
        <v>1</v>
      </c>
      <c r="O227">
        <f t="shared" ca="1" si="41"/>
        <v>1</v>
      </c>
      <c r="R227" s="1"/>
    </row>
    <row r="228" spans="7:18" x14ac:dyDescent="0.25">
      <c r="G228" t="str">
        <f t="shared" si="42"/>
        <v>D12-R12</v>
      </c>
      <c r="H228" t="str">
        <f>$A$20</f>
        <v>D16-R16</v>
      </c>
      <c r="I228" s="13" t="str">
        <f t="shared" ca="1" si="43"/>
        <v>O</v>
      </c>
      <c r="J228" s="13" t="str">
        <f t="shared" ca="1" si="44"/>
        <v>Rare</v>
      </c>
      <c r="K228" s="17" t="str">
        <f ca="1">$D$20</f>
        <v>B</v>
      </c>
      <c r="L228" s="15" t="str">
        <f ca="1">$E$20</f>
        <v>Frequent</v>
      </c>
      <c r="M228" s="13">
        <f t="shared" ca="1" si="40"/>
        <v>1</v>
      </c>
      <c r="N228" s="3">
        <f t="shared" ca="1" si="40"/>
        <v>1</v>
      </c>
      <c r="O228">
        <f t="shared" ca="1" si="41"/>
        <v>1</v>
      </c>
      <c r="R228" s="1"/>
    </row>
    <row r="229" spans="7:18" x14ac:dyDescent="0.25">
      <c r="G229" t="str">
        <f t="shared" si="42"/>
        <v>D12-R12</v>
      </c>
      <c r="H229" t="str">
        <f>$A$21</f>
        <v>D17-R17</v>
      </c>
      <c r="I229" s="13" t="str">
        <f t="shared" ca="1" si="43"/>
        <v>O</v>
      </c>
      <c r="J229" s="13" t="str">
        <f t="shared" ca="1" si="44"/>
        <v>Rare</v>
      </c>
      <c r="K229" s="12" t="str">
        <f ca="1">$D$21</f>
        <v>B</v>
      </c>
      <c r="L229" s="11" t="str">
        <f ca="1">$E$21</f>
        <v>Rare</v>
      </c>
      <c r="M229" s="13">
        <f t="shared" ca="1" si="40"/>
        <v>1</v>
      </c>
      <c r="N229" s="3">
        <f t="shared" ca="1" si="40"/>
        <v>1</v>
      </c>
      <c r="O229">
        <f t="shared" ca="1" si="41"/>
        <v>1</v>
      </c>
      <c r="R229" s="1"/>
    </row>
    <row r="230" spans="7:18" x14ac:dyDescent="0.25">
      <c r="G230" t="str">
        <f t="shared" si="42"/>
        <v>D12-R12</v>
      </c>
      <c r="H230" t="str">
        <f>$A$22</f>
        <v>D18-R18</v>
      </c>
      <c r="I230" s="13" t="str">
        <f t="shared" ca="1" si="43"/>
        <v>O</v>
      </c>
      <c r="J230" s="13" t="str">
        <f t="shared" ca="1" si="44"/>
        <v>Rare</v>
      </c>
      <c r="K230" s="12" t="str">
        <f ca="1">$D$22</f>
        <v>A</v>
      </c>
      <c r="L230" s="11" t="str">
        <f ca="1">$E$22</f>
        <v>Rare</v>
      </c>
      <c r="M230" s="13">
        <f t="shared" ca="1" si="40"/>
        <v>1</v>
      </c>
      <c r="N230" s="3">
        <f t="shared" ca="1" si="40"/>
        <v>1</v>
      </c>
      <c r="O230">
        <f t="shared" ca="1" si="41"/>
        <v>1</v>
      </c>
      <c r="R230" s="1"/>
    </row>
    <row r="231" spans="7:18" x14ac:dyDescent="0.25">
      <c r="G231" t="str">
        <f t="shared" si="42"/>
        <v>D12-R12</v>
      </c>
      <c r="H231" t="str">
        <f>$A$23</f>
        <v>D19-R19</v>
      </c>
      <c r="I231" s="13" t="str">
        <f t="shared" ca="1" si="43"/>
        <v>O</v>
      </c>
      <c r="J231" s="13" t="str">
        <f t="shared" ca="1" si="44"/>
        <v>Rare</v>
      </c>
      <c r="K231" s="12" t="str">
        <f ca="1">$D$23</f>
        <v>B</v>
      </c>
      <c r="L231" s="11" t="str">
        <f ca="1">$E$23</f>
        <v>Rare</v>
      </c>
      <c r="M231" s="13">
        <f t="shared" ca="1" si="40"/>
        <v>1</v>
      </c>
      <c r="N231" s="3">
        <f t="shared" ca="1" si="40"/>
        <v>1</v>
      </c>
      <c r="O231">
        <f t="shared" ca="1" si="41"/>
        <v>1</v>
      </c>
      <c r="R231" s="1"/>
    </row>
    <row r="232" spans="7:18" x14ac:dyDescent="0.25">
      <c r="G232" t="str">
        <f t="shared" si="42"/>
        <v>D12-R12</v>
      </c>
      <c r="H232" t="str">
        <f>$A$24</f>
        <v>D20-R20</v>
      </c>
      <c r="I232" s="13" t="str">
        <f t="shared" ca="1" si="43"/>
        <v>O</v>
      </c>
      <c r="J232" s="13" t="str">
        <f t="shared" ca="1" si="44"/>
        <v>Rare</v>
      </c>
      <c r="K232" s="12" t="str">
        <f ca="1">$D$24</f>
        <v>AB</v>
      </c>
      <c r="L232" s="11" t="str">
        <f ca="1">$E$24</f>
        <v>Rare</v>
      </c>
      <c r="M232" s="13">
        <f t="shared" ca="1" si="40"/>
        <v>1</v>
      </c>
      <c r="N232" s="3">
        <f t="shared" ca="1" si="40"/>
        <v>1</v>
      </c>
      <c r="O232">
        <f t="shared" ca="1" si="41"/>
        <v>1</v>
      </c>
      <c r="R232" s="1"/>
    </row>
    <row r="233" spans="7:18" x14ac:dyDescent="0.25">
      <c r="G233" t="str">
        <f>$A$17</f>
        <v>D13-R13</v>
      </c>
      <c r="H233" t="str">
        <f>$A$5</f>
        <v>D1-R1</v>
      </c>
      <c r="I233" s="13" t="str">
        <f ca="1">$B$17</f>
        <v>AB</v>
      </c>
      <c r="J233" s="13" t="str">
        <f ca="1">$C$17</f>
        <v>Frequent</v>
      </c>
      <c r="K233" s="16" t="str">
        <f ca="1">$D$5</f>
        <v>O</v>
      </c>
      <c r="L233" s="13" t="str">
        <f ca="1">$E$5</f>
        <v>Rare</v>
      </c>
      <c r="M233" s="13">
        <f t="shared" ca="1" si="40"/>
        <v>0</v>
      </c>
      <c r="N233" s="3">
        <f t="shared" ca="1" si="40"/>
        <v>0</v>
      </c>
      <c r="O233">
        <f t="shared" ca="1" si="41"/>
        <v>0</v>
      </c>
      <c r="R233" s="1"/>
    </row>
    <row r="234" spans="7:18" x14ac:dyDescent="0.25">
      <c r="G234" t="str">
        <f t="shared" ref="G234:G251" si="45">$A$17</f>
        <v>D13-R13</v>
      </c>
      <c r="H234" t="str">
        <f>$A$6</f>
        <v>D2-R2</v>
      </c>
      <c r="I234" s="13" t="str">
        <f t="shared" ref="I234:I251" ca="1" si="46">$B$17</f>
        <v>AB</v>
      </c>
      <c r="J234" s="13" t="str">
        <f t="shared" ref="J234:J251" ca="1" si="47">$C$17</f>
        <v>Frequent</v>
      </c>
      <c r="K234" s="16" t="str">
        <f ca="1">$D$6</f>
        <v>AB</v>
      </c>
      <c r="L234" s="13" t="str">
        <f ca="1">$E$6</f>
        <v>Frequent</v>
      </c>
      <c r="M234" s="13">
        <f t="shared" ca="1" si="40"/>
        <v>1</v>
      </c>
      <c r="N234" s="3">
        <f t="shared" ca="1" si="40"/>
        <v>1</v>
      </c>
      <c r="O234">
        <f t="shared" ca="1" si="41"/>
        <v>1</v>
      </c>
      <c r="R234" s="1"/>
    </row>
    <row r="235" spans="7:18" x14ac:dyDescent="0.25">
      <c r="G235" t="str">
        <f t="shared" si="45"/>
        <v>D13-R13</v>
      </c>
      <c r="H235" t="str">
        <f>$A$7</f>
        <v>D3-R3</v>
      </c>
      <c r="I235" s="13" t="str">
        <f t="shared" ca="1" si="46"/>
        <v>AB</v>
      </c>
      <c r="J235" s="13" t="str">
        <f t="shared" ca="1" si="47"/>
        <v>Frequent</v>
      </c>
      <c r="K235" s="12" t="str">
        <f ca="1">$D$7</f>
        <v>B</v>
      </c>
      <c r="L235" s="11" t="str">
        <f ca="1">$E$7</f>
        <v>Frequent</v>
      </c>
      <c r="M235" s="13">
        <f t="shared" ca="1" si="40"/>
        <v>0</v>
      </c>
      <c r="N235" s="3">
        <f t="shared" ca="1" si="40"/>
        <v>1</v>
      </c>
      <c r="O235">
        <f t="shared" ca="1" si="41"/>
        <v>0</v>
      </c>
      <c r="R235" s="1"/>
    </row>
    <row r="236" spans="7:18" x14ac:dyDescent="0.25">
      <c r="G236" t="str">
        <f t="shared" si="45"/>
        <v>D13-R13</v>
      </c>
      <c r="H236" t="str">
        <f>$A$8</f>
        <v>D4-R4</v>
      </c>
      <c r="I236" s="13" t="str">
        <f t="shared" ca="1" si="46"/>
        <v>AB</v>
      </c>
      <c r="J236" s="13" t="str">
        <f t="shared" ca="1" si="47"/>
        <v>Frequent</v>
      </c>
      <c r="K236" s="17" t="str">
        <f ca="1">$D$8</f>
        <v>A</v>
      </c>
      <c r="L236" s="15" t="str">
        <f ca="1">$E$8</f>
        <v>Frequent</v>
      </c>
      <c r="M236" s="13">
        <f t="shared" ca="1" si="40"/>
        <v>0</v>
      </c>
      <c r="N236" s="3">
        <f t="shared" ca="1" si="40"/>
        <v>1</v>
      </c>
      <c r="O236">
        <f t="shared" ca="1" si="41"/>
        <v>0</v>
      </c>
      <c r="R236" s="1"/>
    </row>
    <row r="237" spans="7:18" x14ac:dyDescent="0.25">
      <c r="G237" t="str">
        <f t="shared" si="45"/>
        <v>D13-R13</v>
      </c>
      <c r="H237" t="str">
        <f>$A$9</f>
        <v>D5-R5</v>
      </c>
      <c r="I237" s="13" t="str">
        <f t="shared" ca="1" si="46"/>
        <v>AB</v>
      </c>
      <c r="J237" s="13" t="str">
        <f t="shared" ca="1" si="47"/>
        <v>Frequent</v>
      </c>
      <c r="K237" s="17" t="str">
        <f ca="1">$D$9</f>
        <v>AB</v>
      </c>
      <c r="L237" s="15" t="str">
        <f ca="1">$E$9</f>
        <v>Rare</v>
      </c>
      <c r="M237" s="13">
        <f t="shared" ca="1" si="40"/>
        <v>1</v>
      </c>
      <c r="N237" s="3">
        <f t="shared" ca="1" si="40"/>
        <v>0</v>
      </c>
      <c r="O237">
        <f t="shared" ca="1" si="41"/>
        <v>0</v>
      </c>
      <c r="R237" s="1"/>
    </row>
    <row r="238" spans="7:18" x14ac:dyDescent="0.25">
      <c r="G238" t="str">
        <f t="shared" si="45"/>
        <v>D13-R13</v>
      </c>
      <c r="H238" t="str">
        <f>$A$10</f>
        <v>D6-R6</v>
      </c>
      <c r="I238" s="13" t="str">
        <f t="shared" ca="1" si="46"/>
        <v>AB</v>
      </c>
      <c r="J238" s="13" t="str">
        <f t="shared" ca="1" si="47"/>
        <v>Frequent</v>
      </c>
      <c r="K238" s="17" t="str">
        <f ca="1">$D$10</f>
        <v>AB</v>
      </c>
      <c r="L238" s="15" t="str">
        <f ca="1">$E$10</f>
        <v>Frequent</v>
      </c>
      <c r="M238" s="13">
        <f t="shared" ca="1" si="40"/>
        <v>1</v>
      </c>
      <c r="N238" s="3">
        <f t="shared" ca="1" si="40"/>
        <v>1</v>
      </c>
      <c r="O238">
        <f t="shared" ca="1" si="41"/>
        <v>1</v>
      </c>
      <c r="R238" s="1"/>
    </row>
    <row r="239" spans="7:18" x14ac:dyDescent="0.25">
      <c r="G239" t="str">
        <f t="shared" si="45"/>
        <v>D13-R13</v>
      </c>
      <c r="H239" t="str">
        <f>$A$11</f>
        <v>D7-R7</v>
      </c>
      <c r="I239" s="13" t="str">
        <f t="shared" ca="1" si="46"/>
        <v>AB</v>
      </c>
      <c r="J239" s="13" t="str">
        <f t="shared" ca="1" si="47"/>
        <v>Frequent</v>
      </c>
      <c r="K239" s="17" t="str">
        <f ca="1">$D$11</f>
        <v>O</v>
      </c>
      <c r="L239" s="15" t="str">
        <f ca="1">$E$11</f>
        <v>Frequent</v>
      </c>
      <c r="M239" s="13">
        <f t="shared" ca="1" si="40"/>
        <v>0</v>
      </c>
      <c r="N239" s="3">
        <f t="shared" ca="1" si="40"/>
        <v>1</v>
      </c>
      <c r="O239">
        <f t="shared" ca="1" si="41"/>
        <v>0</v>
      </c>
      <c r="R239" s="1"/>
    </row>
    <row r="240" spans="7:18" x14ac:dyDescent="0.25">
      <c r="G240" t="str">
        <f t="shared" si="45"/>
        <v>D13-R13</v>
      </c>
      <c r="H240" t="str">
        <f>$A$12</f>
        <v>D8-R8</v>
      </c>
      <c r="I240" s="13" t="str">
        <f t="shared" ca="1" si="46"/>
        <v>AB</v>
      </c>
      <c r="J240" s="13" t="str">
        <f t="shared" ca="1" si="47"/>
        <v>Frequent</v>
      </c>
      <c r="K240" s="17" t="str">
        <f ca="1">$D$12</f>
        <v>B</v>
      </c>
      <c r="L240" s="15" t="str">
        <f ca="1">$E$12</f>
        <v>Rare</v>
      </c>
      <c r="M240" s="13">
        <f t="shared" ca="1" si="40"/>
        <v>0</v>
      </c>
      <c r="N240" s="3">
        <f t="shared" ca="1" si="40"/>
        <v>0</v>
      </c>
      <c r="O240">
        <f t="shared" ca="1" si="41"/>
        <v>0</v>
      </c>
      <c r="R240" s="1"/>
    </row>
    <row r="241" spans="7:18" x14ac:dyDescent="0.25">
      <c r="G241" t="str">
        <f t="shared" si="45"/>
        <v>D13-R13</v>
      </c>
      <c r="H241" t="str">
        <f>$A$13</f>
        <v>D9-R9</v>
      </c>
      <c r="I241" s="13" t="str">
        <f t="shared" ca="1" si="46"/>
        <v>AB</v>
      </c>
      <c r="J241" s="13" t="str">
        <f t="shared" ca="1" si="47"/>
        <v>Frequent</v>
      </c>
      <c r="K241" s="17" t="str">
        <f ca="1">$D$13</f>
        <v>A</v>
      </c>
      <c r="L241" s="15" t="str">
        <f ca="1">$E$13</f>
        <v>Frequent</v>
      </c>
      <c r="M241" s="13">
        <f t="shared" ca="1" si="40"/>
        <v>0</v>
      </c>
      <c r="N241" s="3">
        <f t="shared" ca="1" si="40"/>
        <v>1</v>
      </c>
      <c r="O241">
        <f t="shared" ca="1" si="41"/>
        <v>0</v>
      </c>
      <c r="R241" s="1"/>
    </row>
    <row r="242" spans="7:18" x14ac:dyDescent="0.25">
      <c r="G242" t="str">
        <f t="shared" si="45"/>
        <v>D13-R13</v>
      </c>
      <c r="H242" t="str">
        <f>$A$14</f>
        <v>D10-R10</v>
      </c>
      <c r="I242" s="13" t="str">
        <f t="shared" ca="1" si="46"/>
        <v>AB</v>
      </c>
      <c r="J242" s="13" t="str">
        <f t="shared" ca="1" si="47"/>
        <v>Frequent</v>
      </c>
      <c r="K242" s="12" t="str">
        <f ca="1">$D$14</f>
        <v>A</v>
      </c>
      <c r="L242" s="11" t="str">
        <f ca="1">$E$14</f>
        <v>Frequent</v>
      </c>
      <c r="M242" s="13">
        <f t="shared" ca="1" si="40"/>
        <v>0</v>
      </c>
      <c r="N242" s="3">
        <f t="shared" ca="1" si="40"/>
        <v>1</v>
      </c>
      <c r="O242">
        <f t="shared" ca="1" si="41"/>
        <v>0</v>
      </c>
      <c r="R242" s="1"/>
    </row>
    <row r="243" spans="7:18" x14ac:dyDescent="0.25">
      <c r="G243" t="str">
        <f t="shared" si="45"/>
        <v>D13-R13</v>
      </c>
      <c r="H243" t="str">
        <f>$A$15</f>
        <v>D11-R11</v>
      </c>
      <c r="I243" s="13" t="str">
        <f t="shared" ca="1" si="46"/>
        <v>AB</v>
      </c>
      <c r="J243" s="13" t="str">
        <f t="shared" ca="1" si="47"/>
        <v>Frequent</v>
      </c>
      <c r="K243" s="17" t="str">
        <f ca="1">$D$15</f>
        <v>AB</v>
      </c>
      <c r="L243" s="15" t="str">
        <f ca="1">$E$15</f>
        <v>Frequent</v>
      </c>
      <c r="M243" s="13">
        <f t="shared" ca="1" si="40"/>
        <v>1</v>
      </c>
      <c r="N243" s="3">
        <f t="shared" ca="1" si="40"/>
        <v>1</v>
      </c>
      <c r="O243">
        <f t="shared" ca="1" si="41"/>
        <v>1</v>
      </c>
      <c r="R243" s="1"/>
    </row>
    <row r="244" spans="7:18" x14ac:dyDescent="0.25">
      <c r="G244" t="str">
        <f t="shared" si="45"/>
        <v>D13-R13</v>
      </c>
      <c r="H244" t="str">
        <f>$A$16</f>
        <v>D12-R12</v>
      </c>
      <c r="I244" s="13" t="str">
        <f t="shared" ca="1" si="46"/>
        <v>AB</v>
      </c>
      <c r="J244" s="13" t="str">
        <f t="shared" ca="1" si="47"/>
        <v>Frequent</v>
      </c>
      <c r="K244" s="17" t="str">
        <f ca="1">$D$16</f>
        <v>B</v>
      </c>
      <c r="L244" s="15" t="str">
        <f ca="1">$E$16</f>
        <v>Rare</v>
      </c>
      <c r="M244" s="13">
        <f t="shared" ca="1" si="40"/>
        <v>0</v>
      </c>
      <c r="N244" s="3">
        <f t="shared" ca="1" si="40"/>
        <v>0</v>
      </c>
      <c r="O244">
        <f t="shared" ca="1" si="41"/>
        <v>0</v>
      </c>
      <c r="R244" s="1"/>
    </row>
    <row r="245" spans="7:18" x14ac:dyDescent="0.25">
      <c r="G245" t="str">
        <f t="shared" si="45"/>
        <v>D13-R13</v>
      </c>
      <c r="H245" t="str">
        <f>$A$18</f>
        <v>D14-R14</v>
      </c>
      <c r="I245" s="13" t="str">
        <f t="shared" ca="1" si="46"/>
        <v>AB</v>
      </c>
      <c r="J245" s="13" t="str">
        <f t="shared" ca="1" si="47"/>
        <v>Frequent</v>
      </c>
      <c r="K245" s="17" t="str">
        <f ca="1">$D$18</f>
        <v>B</v>
      </c>
      <c r="L245" s="15" t="str">
        <f ca="1">$E$18</f>
        <v>Frequent</v>
      </c>
      <c r="M245" s="13">
        <f t="shared" ca="1" si="40"/>
        <v>0</v>
      </c>
      <c r="N245" s="3">
        <f t="shared" ca="1" si="40"/>
        <v>1</v>
      </c>
      <c r="O245">
        <f t="shared" ca="1" si="41"/>
        <v>0</v>
      </c>
      <c r="R245" s="1"/>
    </row>
    <row r="246" spans="7:18" x14ac:dyDescent="0.25">
      <c r="G246" t="str">
        <f t="shared" si="45"/>
        <v>D13-R13</v>
      </c>
      <c r="H246" t="str">
        <f>$A$19</f>
        <v>D15-R15</v>
      </c>
      <c r="I246" s="13" t="str">
        <f t="shared" ca="1" si="46"/>
        <v>AB</v>
      </c>
      <c r="J246" s="13" t="str">
        <f t="shared" ca="1" si="47"/>
        <v>Frequent</v>
      </c>
      <c r="K246" s="17" t="str">
        <f ca="1">$D$19</f>
        <v>B</v>
      </c>
      <c r="L246" s="15" t="str">
        <f ca="1">$E$19</f>
        <v>Frequent</v>
      </c>
      <c r="M246" s="13">
        <f t="shared" ca="1" si="40"/>
        <v>0</v>
      </c>
      <c r="N246" s="3">
        <f t="shared" ca="1" si="40"/>
        <v>1</v>
      </c>
      <c r="O246">
        <f t="shared" ca="1" si="41"/>
        <v>0</v>
      </c>
      <c r="R246" s="1"/>
    </row>
    <row r="247" spans="7:18" x14ac:dyDescent="0.25">
      <c r="G247" t="str">
        <f t="shared" si="45"/>
        <v>D13-R13</v>
      </c>
      <c r="H247" t="str">
        <f>$A$20</f>
        <v>D16-R16</v>
      </c>
      <c r="I247" s="13" t="str">
        <f t="shared" ca="1" si="46"/>
        <v>AB</v>
      </c>
      <c r="J247" s="13" t="str">
        <f t="shared" ca="1" si="47"/>
        <v>Frequent</v>
      </c>
      <c r="K247" s="17" t="str">
        <f ca="1">$D$20</f>
        <v>B</v>
      </c>
      <c r="L247" s="15" t="str">
        <f ca="1">$E$20</f>
        <v>Frequent</v>
      </c>
      <c r="M247" s="13">
        <f t="shared" ca="1" si="40"/>
        <v>0</v>
      </c>
      <c r="N247" s="3">
        <f t="shared" ca="1" si="40"/>
        <v>1</v>
      </c>
      <c r="O247">
        <f t="shared" ca="1" si="41"/>
        <v>0</v>
      </c>
      <c r="R247" s="1"/>
    </row>
    <row r="248" spans="7:18" x14ac:dyDescent="0.25">
      <c r="G248" t="str">
        <f t="shared" si="45"/>
        <v>D13-R13</v>
      </c>
      <c r="H248" t="str">
        <f>$A$21</f>
        <v>D17-R17</v>
      </c>
      <c r="I248" s="13" t="str">
        <f t="shared" ca="1" si="46"/>
        <v>AB</v>
      </c>
      <c r="J248" s="13" t="str">
        <f t="shared" ca="1" si="47"/>
        <v>Frequent</v>
      </c>
      <c r="K248" s="12" t="str">
        <f ca="1">$D$21</f>
        <v>B</v>
      </c>
      <c r="L248" s="11" t="str">
        <f ca="1">$E$21</f>
        <v>Rare</v>
      </c>
      <c r="M248" s="13">
        <f t="shared" ca="1" si="40"/>
        <v>0</v>
      </c>
      <c r="N248" s="3">
        <f t="shared" ca="1" si="40"/>
        <v>0</v>
      </c>
      <c r="O248">
        <f t="shared" ca="1" si="41"/>
        <v>0</v>
      </c>
      <c r="R248" s="1"/>
    </row>
    <row r="249" spans="7:18" x14ac:dyDescent="0.25">
      <c r="G249" t="str">
        <f t="shared" si="45"/>
        <v>D13-R13</v>
      </c>
      <c r="H249" t="str">
        <f>$A$22</f>
        <v>D18-R18</v>
      </c>
      <c r="I249" s="13" t="str">
        <f t="shared" ca="1" si="46"/>
        <v>AB</v>
      </c>
      <c r="J249" s="13" t="str">
        <f t="shared" ca="1" si="47"/>
        <v>Frequent</v>
      </c>
      <c r="K249" s="12" t="str">
        <f ca="1">$D$22</f>
        <v>A</v>
      </c>
      <c r="L249" s="11" t="str">
        <f ca="1">$E$22</f>
        <v>Rare</v>
      </c>
      <c r="M249" s="13">
        <f t="shared" ca="1" si="40"/>
        <v>0</v>
      </c>
      <c r="N249" s="3">
        <f t="shared" ca="1" si="40"/>
        <v>0</v>
      </c>
      <c r="O249">
        <f t="shared" ca="1" si="41"/>
        <v>0</v>
      </c>
      <c r="R249" s="1"/>
    </row>
    <row r="250" spans="7:18" x14ac:dyDescent="0.25">
      <c r="G250" t="str">
        <f t="shared" si="45"/>
        <v>D13-R13</v>
      </c>
      <c r="H250" t="str">
        <f>$A$23</f>
        <v>D19-R19</v>
      </c>
      <c r="I250" s="13" t="str">
        <f t="shared" ca="1" si="46"/>
        <v>AB</v>
      </c>
      <c r="J250" s="13" t="str">
        <f t="shared" ca="1" si="47"/>
        <v>Frequent</v>
      </c>
      <c r="K250" s="12" t="str">
        <f ca="1">$D$23</f>
        <v>B</v>
      </c>
      <c r="L250" s="11" t="str">
        <f ca="1">$E$23</f>
        <v>Rare</v>
      </c>
      <c r="M250" s="13">
        <f t="shared" ca="1" si="40"/>
        <v>0</v>
      </c>
      <c r="N250" s="3">
        <f t="shared" ca="1" si="40"/>
        <v>0</v>
      </c>
      <c r="O250">
        <f t="shared" ca="1" si="41"/>
        <v>0</v>
      </c>
      <c r="R250" s="1"/>
    </row>
    <row r="251" spans="7:18" x14ac:dyDescent="0.25">
      <c r="G251" t="str">
        <f t="shared" si="45"/>
        <v>D13-R13</v>
      </c>
      <c r="H251" t="str">
        <f>$A$24</f>
        <v>D20-R20</v>
      </c>
      <c r="I251" s="13" t="str">
        <f t="shared" ca="1" si="46"/>
        <v>AB</v>
      </c>
      <c r="J251" s="13" t="str">
        <f t="shared" ca="1" si="47"/>
        <v>Frequent</v>
      </c>
      <c r="K251" s="12" t="str">
        <f ca="1">$D$24</f>
        <v>AB</v>
      </c>
      <c r="L251" s="11" t="str">
        <f ca="1">$E$24</f>
        <v>Rare</v>
      </c>
      <c r="M251" s="13">
        <f t="shared" ca="1" si="40"/>
        <v>1</v>
      </c>
      <c r="N251" s="3">
        <f t="shared" ca="1" si="40"/>
        <v>0</v>
      </c>
      <c r="O251">
        <f t="shared" ca="1" si="41"/>
        <v>0</v>
      </c>
      <c r="R251" s="1"/>
    </row>
    <row r="252" spans="7:18" x14ac:dyDescent="0.25">
      <c r="G252" t="str">
        <f>$A$18</f>
        <v>D14-R14</v>
      </c>
      <c r="H252" t="str">
        <f>$A$5</f>
        <v>D1-R1</v>
      </c>
      <c r="I252" s="13" t="str">
        <f ca="1">$B$18</f>
        <v>B</v>
      </c>
      <c r="J252" s="13" t="str">
        <f ca="1">$C$18</f>
        <v>Rare</v>
      </c>
      <c r="K252" s="16" t="str">
        <f ca="1">$D$5</f>
        <v>O</v>
      </c>
      <c r="L252" s="13" t="str">
        <f ca="1">$E$5</f>
        <v>Rare</v>
      </c>
      <c r="M252" s="13">
        <f t="shared" ca="1" si="40"/>
        <v>0</v>
      </c>
      <c r="N252" s="3">
        <f t="shared" ca="1" si="40"/>
        <v>1</v>
      </c>
      <c r="O252">
        <f t="shared" ca="1" si="41"/>
        <v>0</v>
      </c>
      <c r="R252" s="1"/>
    </row>
    <row r="253" spans="7:18" x14ac:dyDescent="0.25">
      <c r="G253" t="str">
        <f t="shared" ref="G253:G270" si="48">$A$18</f>
        <v>D14-R14</v>
      </c>
      <c r="H253" t="str">
        <f>$A$6</f>
        <v>D2-R2</v>
      </c>
      <c r="I253" s="13" t="str">
        <f t="shared" ref="I253:I270" ca="1" si="49">$B$18</f>
        <v>B</v>
      </c>
      <c r="J253" s="13" t="str">
        <f t="shared" ref="J253:J270" ca="1" si="50">$C$18</f>
        <v>Rare</v>
      </c>
      <c r="K253" s="16" t="str">
        <f ca="1">$D$6</f>
        <v>AB</v>
      </c>
      <c r="L253" s="13" t="str">
        <f ca="1">$E$6</f>
        <v>Frequent</v>
      </c>
      <c r="M253" s="13">
        <f t="shared" ca="1" si="40"/>
        <v>1</v>
      </c>
      <c r="N253" s="3">
        <f t="shared" ca="1" si="40"/>
        <v>1</v>
      </c>
      <c r="O253">
        <f t="shared" ca="1" si="41"/>
        <v>1</v>
      </c>
      <c r="R253" s="1"/>
    </row>
    <row r="254" spans="7:18" x14ac:dyDescent="0.25">
      <c r="G254" t="str">
        <f t="shared" si="48"/>
        <v>D14-R14</v>
      </c>
      <c r="H254" t="str">
        <f>$A$7</f>
        <v>D3-R3</v>
      </c>
      <c r="I254" s="13" t="str">
        <f t="shared" ca="1" si="49"/>
        <v>B</v>
      </c>
      <c r="J254" s="13" t="str">
        <f t="shared" ca="1" si="50"/>
        <v>Rare</v>
      </c>
      <c r="K254" s="12" t="str">
        <f ca="1">$D$7</f>
        <v>B</v>
      </c>
      <c r="L254" s="11" t="str">
        <f ca="1">$E$7</f>
        <v>Frequent</v>
      </c>
      <c r="M254" s="13">
        <f t="shared" ca="1" si="40"/>
        <v>1</v>
      </c>
      <c r="N254" s="3">
        <f t="shared" ca="1" si="40"/>
        <v>1</v>
      </c>
      <c r="O254">
        <f t="shared" ca="1" si="41"/>
        <v>1</v>
      </c>
      <c r="R254" s="1"/>
    </row>
    <row r="255" spans="7:18" x14ac:dyDescent="0.25">
      <c r="G255" t="str">
        <f t="shared" si="48"/>
        <v>D14-R14</v>
      </c>
      <c r="H255" t="str">
        <f>$A$8</f>
        <v>D4-R4</v>
      </c>
      <c r="I255" s="13" t="str">
        <f t="shared" ca="1" si="49"/>
        <v>B</v>
      </c>
      <c r="J255" s="13" t="str">
        <f t="shared" ca="1" si="50"/>
        <v>Rare</v>
      </c>
      <c r="K255" s="17" t="str">
        <f ca="1">$D$8</f>
        <v>A</v>
      </c>
      <c r="L255" s="15" t="str">
        <f ca="1">$E$8</f>
        <v>Frequent</v>
      </c>
      <c r="M255" s="13">
        <f t="shared" ca="1" si="40"/>
        <v>0</v>
      </c>
      <c r="N255" s="3">
        <f t="shared" ca="1" si="40"/>
        <v>1</v>
      </c>
      <c r="O255">
        <f t="shared" ca="1" si="41"/>
        <v>0</v>
      </c>
      <c r="R255" s="1"/>
    </row>
    <row r="256" spans="7:18" x14ac:dyDescent="0.25">
      <c r="G256" t="str">
        <f t="shared" si="48"/>
        <v>D14-R14</v>
      </c>
      <c r="H256" t="str">
        <f>$A$9</f>
        <v>D5-R5</v>
      </c>
      <c r="I256" s="13" t="str">
        <f t="shared" ca="1" si="49"/>
        <v>B</v>
      </c>
      <c r="J256" s="13" t="str">
        <f t="shared" ca="1" si="50"/>
        <v>Rare</v>
      </c>
      <c r="K256" s="17" t="str">
        <f ca="1">$D$9</f>
        <v>AB</v>
      </c>
      <c r="L256" s="15" t="str">
        <f ca="1">$E$9</f>
        <v>Rare</v>
      </c>
      <c r="M256" s="13">
        <f t="shared" ca="1" si="40"/>
        <v>1</v>
      </c>
      <c r="N256" s="3">
        <f t="shared" ca="1" si="40"/>
        <v>1</v>
      </c>
      <c r="O256">
        <f t="shared" ca="1" si="41"/>
        <v>1</v>
      </c>
      <c r="R256" s="1"/>
    </row>
    <row r="257" spans="7:18" x14ac:dyDescent="0.25">
      <c r="G257" t="str">
        <f t="shared" si="48"/>
        <v>D14-R14</v>
      </c>
      <c r="H257" t="str">
        <f>$A$10</f>
        <v>D6-R6</v>
      </c>
      <c r="I257" s="13" t="str">
        <f t="shared" ca="1" si="49"/>
        <v>B</v>
      </c>
      <c r="J257" s="13" t="str">
        <f t="shared" ca="1" si="50"/>
        <v>Rare</v>
      </c>
      <c r="K257" s="17" t="str">
        <f ca="1">$D$10</f>
        <v>AB</v>
      </c>
      <c r="L257" s="15" t="str">
        <f ca="1">$E$10</f>
        <v>Frequent</v>
      </c>
      <c r="M257" s="13">
        <f t="shared" ca="1" si="40"/>
        <v>1</v>
      </c>
      <c r="N257" s="3">
        <f t="shared" ca="1" si="40"/>
        <v>1</v>
      </c>
      <c r="O257">
        <f t="shared" ca="1" si="41"/>
        <v>1</v>
      </c>
      <c r="R257" s="1"/>
    </row>
    <row r="258" spans="7:18" x14ac:dyDescent="0.25">
      <c r="G258" t="str">
        <f t="shared" si="48"/>
        <v>D14-R14</v>
      </c>
      <c r="H258" t="str">
        <f>$A$11</f>
        <v>D7-R7</v>
      </c>
      <c r="I258" s="13" t="str">
        <f t="shared" ca="1" si="49"/>
        <v>B</v>
      </c>
      <c r="J258" s="13" t="str">
        <f t="shared" ca="1" si="50"/>
        <v>Rare</v>
      </c>
      <c r="K258" s="17" t="str">
        <f ca="1">$D$11</f>
        <v>O</v>
      </c>
      <c r="L258" s="15" t="str">
        <f ca="1">$E$11</f>
        <v>Frequent</v>
      </c>
      <c r="M258" s="13">
        <f t="shared" ca="1" si="40"/>
        <v>0</v>
      </c>
      <c r="N258" s="3">
        <f t="shared" ca="1" si="40"/>
        <v>1</v>
      </c>
      <c r="O258">
        <f t="shared" ca="1" si="41"/>
        <v>0</v>
      </c>
      <c r="R258" s="1"/>
    </row>
    <row r="259" spans="7:18" x14ac:dyDescent="0.25">
      <c r="G259" t="str">
        <f t="shared" si="48"/>
        <v>D14-R14</v>
      </c>
      <c r="H259" t="str">
        <f>$A$12</f>
        <v>D8-R8</v>
      </c>
      <c r="I259" s="13" t="str">
        <f t="shared" ca="1" si="49"/>
        <v>B</v>
      </c>
      <c r="J259" s="13" t="str">
        <f t="shared" ca="1" si="50"/>
        <v>Rare</v>
      </c>
      <c r="K259" s="17" t="str">
        <f ca="1">$D$12</f>
        <v>B</v>
      </c>
      <c r="L259" s="15" t="str">
        <f ca="1">$E$12</f>
        <v>Rare</v>
      </c>
      <c r="M259" s="13">
        <f t="shared" ca="1" si="40"/>
        <v>1</v>
      </c>
      <c r="N259" s="3">
        <f t="shared" ca="1" si="40"/>
        <v>1</v>
      </c>
      <c r="O259">
        <f t="shared" ca="1" si="41"/>
        <v>1</v>
      </c>
      <c r="R259" s="1"/>
    </row>
    <row r="260" spans="7:18" x14ac:dyDescent="0.25">
      <c r="G260" t="str">
        <f t="shared" si="48"/>
        <v>D14-R14</v>
      </c>
      <c r="H260" t="str">
        <f>$A$13</f>
        <v>D9-R9</v>
      </c>
      <c r="I260" s="13" t="str">
        <f t="shared" ca="1" si="49"/>
        <v>B</v>
      </c>
      <c r="J260" s="13" t="str">
        <f t="shared" ca="1" si="50"/>
        <v>Rare</v>
      </c>
      <c r="K260" s="17" t="str">
        <f ca="1">$D$13</f>
        <v>A</v>
      </c>
      <c r="L260" s="15" t="str">
        <f ca="1">$E$13</f>
        <v>Frequent</v>
      </c>
      <c r="M260" s="13">
        <f t="shared" ca="1" si="40"/>
        <v>0</v>
      </c>
      <c r="N260" s="3">
        <f t="shared" ca="1" si="40"/>
        <v>1</v>
      </c>
      <c r="O260">
        <f t="shared" ca="1" si="41"/>
        <v>0</v>
      </c>
      <c r="R260" s="1"/>
    </row>
    <row r="261" spans="7:18" x14ac:dyDescent="0.25">
      <c r="G261" t="str">
        <f t="shared" si="48"/>
        <v>D14-R14</v>
      </c>
      <c r="H261" t="str">
        <f>$A$14</f>
        <v>D10-R10</v>
      </c>
      <c r="I261" s="13" t="str">
        <f t="shared" ca="1" si="49"/>
        <v>B</v>
      </c>
      <c r="J261" s="13" t="str">
        <f t="shared" ca="1" si="50"/>
        <v>Rare</v>
      </c>
      <c r="K261" s="12" t="str">
        <f ca="1">$D$14</f>
        <v>A</v>
      </c>
      <c r="L261" s="11" t="str">
        <f ca="1">$E$14</f>
        <v>Frequent</v>
      </c>
      <c r="M261" s="13">
        <f t="shared" ca="1" si="40"/>
        <v>0</v>
      </c>
      <c r="N261" s="3">
        <f t="shared" ca="1" si="40"/>
        <v>1</v>
      </c>
      <c r="O261">
        <f t="shared" ca="1" si="41"/>
        <v>0</v>
      </c>
      <c r="R261" s="1"/>
    </row>
    <row r="262" spans="7:18" x14ac:dyDescent="0.25">
      <c r="G262" t="str">
        <f t="shared" si="48"/>
        <v>D14-R14</v>
      </c>
      <c r="H262" t="str">
        <f>$A$15</f>
        <v>D11-R11</v>
      </c>
      <c r="I262" s="13" t="str">
        <f t="shared" ca="1" si="49"/>
        <v>B</v>
      </c>
      <c r="J262" s="13" t="str">
        <f t="shared" ca="1" si="50"/>
        <v>Rare</v>
      </c>
      <c r="K262" s="17" t="str">
        <f ca="1">$D$15</f>
        <v>AB</v>
      </c>
      <c r="L262" s="15" t="str">
        <f ca="1">$E$15</f>
        <v>Frequent</v>
      </c>
      <c r="M262" s="13">
        <f t="shared" ref="M262:N325" ca="1" si="51">checkFeasibility(I262,K262)</f>
        <v>1</v>
      </c>
      <c r="N262" s="3">
        <f t="shared" ca="1" si="51"/>
        <v>1</v>
      </c>
      <c r="O262">
        <f t="shared" ref="O262:O325" ca="1" si="52">IF(SUM(M262,N262)=2,1,0)</f>
        <v>1</v>
      </c>
      <c r="R262" s="1"/>
    </row>
    <row r="263" spans="7:18" x14ac:dyDescent="0.25">
      <c r="G263" t="str">
        <f t="shared" si="48"/>
        <v>D14-R14</v>
      </c>
      <c r="H263" t="str">
        <f>$A$16</f>
        <v>D12-R12</v>
      </c>
      <c r="I263" s="13" t="str">
        <f t="shared" ca="1" si="49"/>
        <v>B</v>
      </c>
      <c r="J263" s="13" t="str">
        <f t="shared" ca="1" si="50"/>
        <v>Rare</v>
      </c>
      <c r="K263" s="17" t="str">
        <f ca="1">$D$16</f>
        <v>B</v>
      </c>
      <c r="L263" s="15" t="str">
        <f ca="1">$E$16</f>
        <v>Rare</v>
      </c>
      <c r="M263" s="13">
        <f t="shared" ca="1" si="51"/>
        <v>1</v>
      </c>
      <c r="N263" s="3">
        <f t="shared" ca="1" si="51"/>
        <v>1</v>
      </c>
      <c r="O263">
        <f t="shared" ca="1" si="52"/>
        <v>1</v>
      </c>
      <c r="R263" s="1"/>
    </row>
    <row r="264" spans="7:18" x14ac:dyDescent="0.25">
      <c r="G264" t="str">
        <f t="shared" si="48"/>
        <v>D14-R14</v>
      </c>
      <c r="H264" t="str">
        <f>$A$17</f>
        <v>D13-R13</v>
      </c>
      <c r="I264" s="13" t="str">
        <f t="shared" ca="1" si="49"/>
        <v>B</v>
      </c>
      <c r="J264" s="13" t="str">
        <f t="shared" ca="1" si="50"/>
        <v>Rare</v>
      </c>
      <c r="K264" s="17" t="str">
        <f ca="1">$D$17</f>
        <v>AB</v>
      </c>
      <c r="L264" s="15" t="str">
        <f ca="1">$E$17</f>
        <v>Frequent</v>
      </c>
      <c r="M264" s="13">
        <f t="shared" ca="1" si="51"/>
        <v>1</v>
      </c>
      <c r="N264" s="3">
        <f t="shared" ca="1" si="51"/>
        <v>1</v>
      </c>
      <c r="O264">
        <f t="shared" ca="1" si="52"/>
        <v>1</v>
      </c>
      <c r="R264" s="1"/>
    </row>
    <row r="265" spans="7:18" x14ac:dyDescent="0.25">
      <c r="G265" t="str">
        <f t="shared" si="48"/>
        <v>D14-R14</v>
      </c>
      <c r="H265" t="str">
        <f>$A$19</f>
        <v>D15-R15</v>
      </c>
      <c r="I265" s="13" t="str">
        <f t="shared" ca="1" si="49"/>
        <v>B</v>
      </c>
      <c r="J265" s="13" t="str">
        <f t="shared" ca="1" si="50"/>
        <v>Rare</v>
      </c>
      <c r="K265" s="17" t="str">
        <f ca="1">$D$19</f>
        <v>B</v>
      </c>
      <c r="L265" s="15" t="str">
        <f ca="1">$E$19</f>
        <v>Frequent</v>
      </c>
      <c r="M265" s="13">
        <f t="shared" ca="1" si="51"/>
        <v>1</v>
      </c>
      <c r="N265" s="3">
        <f t="shared" ca="1" si="51"/>
        <v>1</v>
      </c>
      <c r="O265">
        <f t="shared" ca="1" si="52"/>
        <v>1</v>
      </c>
      <c r="R265" s="1"/>
    </row>
    <row r="266" spans="7:18" x14ac:dyDescent="0.25">
      <c r="G266" t="str">
        <f t="shared" si="48"/>
        <v>D14-R14</v>
      </c>
      <c r="H266" t="str">
        <f>$A$20</f>
        <v>D16-R16</v>
      </c>
      <c r="I266" s="13" t="str">
        <f t="shared" ca="1" si="49"/>
        <v>B</v>
      </c>
      <c r="J266" s="13" t="str">
        <f t="shared" ca="1" si="50"/>
        <v>Rare</v>
      </c>
      <c r="K266" s="17" t="str">
        <f ca="1">$D$20</f>
        <v>B</v>
      </c>
      <c r="L266" s="15" t="str">
        <f ca="1">$E$20</f>
        <v>Frequent</v>
      </c>
      <c r="M266" s="13">
        <f t="shared" ca="1" si="51"/>
        <v>1</v>
      </c>
      <c r="N266" s="3">
        <f t="shared" ca="1" si="51"/>
        <v>1</v>
      </c>
      <c r="O266">
        <f t="shared" ca="1" si="52"/>
        <v>1</v>
      </c>
      <c r="R266" s="1"/>
    </row>
    <row r="267" spans="7:18" x14ac:dyDescent="0.25">
      <c r="G267" t="str">
        <f t="shared" si="48"/>
        <v>D14-R14</v>
      </c>
      <c r="H267" t="str">
        <f>$A$21</f>
        <v>D17-R17</v>
      </c>
      <c r="I267" s="13" t="str">
        <f t="shared" ca="1" si="49"/>
        <v>B</v>
      </c>
      <c r="J267" s="13" t="str">
        <f t="shared" ca="1" si="50"/>
        <v>Rare</v>
      </c>
      <c r="K267" s="12" t="str">
        <f ca="1">$D$21</f>
        <v>B</v>
      </c>
      <c r="L267" s="11" t="str">
        <f ca="1">$E$21</f>
        <v>Rare</v>
      </c>
      <c r="M267" s="13">
        <f t="shared" ca="1" si="51"/>
        <v>1</v>
      </c>
      <c r="N267" s="3">
        <f t="shared" ca="1" si="51"/>
        <v>1</v>
      </c>
      <c r="O267">
        <f t="shared" ca="1" si="52"/>
        <v>1</v>
      </c>
      <c r="R267" s="1"/>
    </row>
    <row r="268" spans="7:18" x14ac:dyDescent="0.25">
      <c r="G268" t="str">
        <f t="shared" si="48"/>
        <v>D14-R14</v>
      </c>
      <c r="H268" t="str">
        <f>$A$22</f>
        <v>D18-R18</v>
      </c>
      <c r="I268" s="13" t="str">
        <f t="shared" ca="1" si="49"/>
        <v>B</v>
      </c>
      <c r="J268" s="13" t="str">
        <f t="shared" ca="1" si="50"/>
        <v>Rare</v>
      </c>
      <c r="K268" s="12" t="str">
        <f ca="1">$D$22</f>
        <v>A</v>
      </c>
      <c r="L268" s="11" t="str">
        <f ca="1">$E$22</f>
        <v>Rare</v>
      </c>
      <c r="M268" s="13">
        <f t="shared" ca="1" si="51"/>
        <v>0</v>
      </c>
      <c r="N268" s="3">
        <f t="shared" ca="1" si="51"/>
        <v>1</v>
      </c>
      <c r="O268">
        <f t="shared" ca="1" si="52"/>
        <v>0</v>
      </c>
      <c r="R268" s="1"/>
    </row>
    <row r="269" spans="7:18" x14ac:dyDescent="0.25">
      <c r="G269" t="str">
        <f t="shared" si="48"/>
        <v>D14-R14</v>
      </c>
      <c r="H269" t="str">
        <f>$A$23</f>
        <v>D19-R19</v>
      </c>
      <c r="I269" s="13" t="str">
        <f t="shared" ca="1" si="49"/>
        <v>B</v>
      </c>
      <c r="J269" s="13" t="str">
        <f t="shared" ca="1" si="50"/>
        <v>Rare</v>
      </c>
      <c r="K269" s="12" t="str">
        <f ca="1">$D$23</f>
        <v>B</v>
      </c>
      <c r="L269" s="11" t="str">
        <f ca="1">$E$23</f>
        <v>Rare</v>
      </c>
      <c r="M269" s="13">
        <f t="shared" ca="1" si="51"/>
        <v>1</v>
      </c>
      <c r="N269" s="3">
        <f t="shared" ca="1" si="51"/>
        <v>1</v>
      </c>
      <c r="O269">
        <f t="shared" ca="1" si="52"/>
        <v>1</v>
      </c>
      <c r="R269" s="1"/>
    </row>
    <row r="270" spans="7:18" x14ac:dyDescent="0.25">
      <c r="G270" t="str">
        <f t="shared" si="48"/>
        <v>D14-R14</v>
      </c>
      <c r="H270" t="str">
        <f>$A$24</f>
        <v>D20-R20</v>
      </c>
      <c r="I270" s="13" t="str">
        <f t="shared" ca="1" si="49"/>
        <v>B</v>
      </c>
      <c r="J270" s="13" t="str">
        <f t="shared" ca="1" si="50"/>
        <v>Rare</v>
      </c>
      <c r="K270" s="12" t="str">
        <f ca="1">$D$24</f>
        <v>AB</v>
      </c>
      <c r="L270" s="11" t="str">
        <f ca="1">$E$24</f>
        <v>Rare</v>
      </c>
      <c r="M270" s="13">
        <f t="shared" ca="1" si="51"/>
        <v>1</v>
      </c>
      <c r="N270" s="3">
        <f t="shared" ca="1" si="51"/>
        <v>1</v>
      </c>
      <c r="O270">
        <f t="shared" ca="1" si="52"/>
        <v>1</v>
      </c>
      <c r="R270" s="1"/>
    </row>
    <row r="271" spans="7:18" x14ac:dyDescent="0.25">
      <c r="G271" t="str">
        <f>$A$19</f>
        <v>D15-R15</v>
      </c>
      <c r="H271" t="str">
        <f>$A$5</f>
        <v>D1-R1</v>
      </c>
      <c r="I271" s="13" t="str">
        <f ca="1">$B$19</f>
        <v>A</v>
      </c>
      <c r="J271" s="13" t="str">
        <f ca="1">$C$19</f>
        <v>Frequent</v>
      </c>
      <c r="K271" s="16" t="str">
        <f ca="1">$D$5</f>
        <v>O</v>
      </c>
      <c r="L271" s="13" t="str">
        <f ca="1">$E$5</f>
        <v>Rare</v>
      </c>
      <c r="M271" s="13">
        <f t="shared" ca="1" si="51"/>
        <v>0</v>
      </c>
      <c r="N271" s="3">
        <f t="shared" ca="1" si="51"/>
        <v>0</v>
      </c>
      <c r="O271">
        <f t="shared" ca="1" si="52"/>
        <v>0</v>
      </c>
      <c r="R271" s="1"/>
    </row>
    <row r="272" spans="7:18" x14ac:dyDescent="0.25">
      <c r="G272" t="str">
        <f t="shared" ref="G272:G289" si="53">$A$19</f>
        <v>D15-R15</v>
      </c>
      <c r="H272" t="str">
        <f>$A$6</f>
        <v>D2-R2</v>
      </c>
      <c r="I272" s="13" t="str">
        <f t="shared" ref="I272:I289" ca="1" si="54">$B$19</f>
        <v>A</v>
      </c>
      <c r="J272" s="13" t="str">
        <f t="shared" ref="J272:J289" ca="1" si="55">$C$19</f>
        <v>Frequent</v>
      </c>
      <c r="K272" s="16" t="str">
        <f ca="1">$D$6</f>
        <v>AB</v>
      </c>
      <c r="L272" s="13" t="str">
        <f ca="1">$E$6</f>
        <v>Frequent</v>
      </c>
      <c r="M272" s="13">
        <f t="shared" ca="1" si="51"/>
        <v>1</v>
      </c>
      <c r="N272" s="3">
        <f t="shared" ca="1" si="51"/>
        <v>1</v>
      </c>
      <c r="O272">
        <f t="shared" ca="1" si="52"/>
        <v>1</v>
      </c>
      <c r="R272" s="1"/>
    </row>
    <row r="273" spans="7:18" x14ac:dyDescent="0.25">
      <c r="G273" t="str">
        <f t="shared" si="53"/>
        <v>D15-R15</v>
      </c>
      <c r="H273" t="str">
        <f>$A$7</f>
        <v>D3-R3</v>
      </c>
      <c r="I273" s="13" t="str">
        <f t="shared" ca="1" si="54"/>
        <v>A</v>
      </c>
      <c r="J273" s="13" t="str">
        <f t="shared" ca="1" si="55"/>
        <v>Frequent</v>
      </c>
      <c r="K273" s="12" t="str">
        <f ca="1">$D$7</f>
        <v>B</v>
      </c>
      <c r="L273" s="11" t="str">
        <f ca="1">$E$7</f>
        <v>Frequent</v>
      </c>
      <c r="M273" s="13">
        <f t="shared" ca="1" si="51"/>
        <v>0</v>
      </c>
      <c r="N273" s="3">
        <f t="shared" ca="1" si="51"/>
        <v>1</v>
      </c>
      <c r="O273">
        <f t="shared" ca="1" si="52"/>
        <v>0</v>
      </c>
      <c r="R273" s="1"/>
    </row>
    <row r="274" spans="7:18" x14ac:dyDescent="0.25">
      <c r="G274" t="str">
        <f t="shared" si="53"/>
        <v>D15-R15</v>
      </c>
      <c r="H274" t="str">
        <f>$A$8</f>
        <v>D4-R4</v>
      </c>
      <c r="I274" s="13" t="str">
        <f t="shared" ca="1" si="54"/>
        <v>A</v>
      </c>
      <c r="J274" s="13" t="str">
        <f t="shared" ca="1" si="55"/>
        <v>Frequent</v>
      </c>
      <c r="K274" s="17" t="str">
        <f ca="1">$D$8</f>
        <v>A</v>
      </c>
      <c r="L274" s="15" t="str">
        <f ca="1">$E$8</f>
        <v>Frequent</v>
      </c>
      <c r="M274" s="13">
        <f t="shared" ca="1" si="51"/>
        <v>1</v>
      </c>
      <c r="N274" s="3">
        <f t="shared" ca="1" si="51"/>
        <v>1</v>
      </c>
      <c r="O274">
        <f t="shared" ca="1" si="52"/>
        <v>1</v>
      </c>
      <c r="R274" s="1"/>
    </row>
    <row r="275" spans="7:18" x14ac:dyDescent="0.25">
      <c r="G275" t="str">
        <f t="shared" si="53"/>
        <v>D15-R15</v>
      </c>
      <c r="H275" t="str">
        <f>$A$9</f>
        <v>D5-R5</v>
      </c>
      <c r="I275" s="13" t="str">
        <f t="shared" ca="1" si="54"/>
        <v>A</v>
      </c>
      <c r="J275" s="13" t="str">
        <f t="shared" ca="1" si="55"/>
        <v>Frequent</v>
      </c>
      <c r="K275" s="17" t="str">
        <f ca="1">$D$9</f>
        <v>AB</v>
      </c>
      <c r="L275" s="15" t="str">
        <f ca="1">$E$9</f>
        <v>Rare</v>
      </c>
      <c r="M275" s="13">
        <f t="shared" ca="1" si="51"/>
        <v>1</v>
      </c>
      <c r="N275" s="3">
        <f t="shared" ca="1" si="51"/>
        <v>0</v>
      </c>
      <c r="O275">
        <f t="shared" ca="1" si="52"/>
        <v>0</v>
      </c>
      <c r="R275" s="1"/>
    </row>
    <row r="276" spans="7:18" x14ac:dyDescent="0.25">
      <c r="G276" t="str">
        <f t="shared" si="53"/>
        <v>D15-R15</v>
      </c>
      <c r="H276" t="str">
        <f>$A$10</f>
        <v>D6-R6</v>
      </c>
      <c r="I276" s="13" t="str">
        <f t="shared" ca="1" si="54"/>
        <v>A</v>
      </c>
      <c r="J276" s="13" t="str">
        <f t="shared" ca="1" si="55"/>
        <v>Frequent</v>
      </c>
      <c r="K276" s="17" t="str">
        <f ca="1">$D$10</f>
        <v>AB</v>
      </c>
      <c r="L276" s="15" t="str">
        <f ca="1">$E$10</f>
        <v>Frequent</v>
      </c>
      <c r="M276" s="13">
        <f t="shared" ca="1" si="51"/>
        <v>1</v>
      </c>
      <c r="N276" s="3">
        <f t="shared" ca="1" si="51"/>
        <v>1</v>
      </c>
      <c r="O276">
        <f t="shared" ca="1" si="52"/>
        <v>1</v>
      </c>
      <c r="R276" s="1"/>
    </row>
    <row r="277" spans="7:18" x14ac:dyDescent="0.25">
      <c r="G277" t="str">
        <f t="shared" si="53"/>
        <v>D15-R15</v>
      </c>
      <c r="H277" t="str">
        <f>$A$11</f>
        <v>D7-R7</v>
      </c>
      <c r="I277" s="13" t="str">
        <f t="shared" ca="1" si="54"/>
        <v>A</v>
      </c>
      <c r="J277" s="13" t="str">
        <f t="shared" ca="1" si="55"/>
        <v>Frequent</v>
      </c>
      <c r="K277" s="17" t="str">
        <f ca="1">$D$11</f>
        <v>O</v>
      </c>
      <c r="L277" s="15" t="str">
        <f ca="1">$E$11</f>
        <v>Frequent</v>
      </c>
      <c r="M277" s="13">
        <f t="shared" ca="1" si="51"/>
        <v>0</v>
      </c>
      <c r="N277" s="3">
        <f t="shared" ca="1" si="51"/>
        <v>1</v>
      </c>
      <c r="O277">
        <f t="shared" ca="1" si="52"/>
        <v>0</v>
      </c>
      <c r="R277" s="1"/>
    </row>
    <row r="278" spans="7:18" x14ac:dyDescent="0.25">
      <c r="G278" t="str">
        <f t="shared" si="53"/>
        <v>D15-R15</v>
      </c>
      <c r="H278" t="str">
        <f>$A$12</f>
        <v>D8-R8</v>
      </c>
      <c r="I278" s="13" t="str">
        <f t="shared" ca="1" si="54"/>
        <v>A</v>
      </c>
      <c r="J278" s="13" t="str">
        <f t="shared" ca="1" si="55"/>
        <v>Frequent</v>
      </c>
      <c r="K278" s="17" t="str">
        <f ca="1">$D$12</f>
        <v>B</v>
      </c>
      <c r="L278" s="15" t="str">
        <f ca="1">$E$12</f>
        <v>Rare</v>
      </c>
      <c r="M278" s="13">
        <f t="shared" ca="1" si="51"/>
        <v>0</v>
      </c>
      <c r="N278" s="3">
        <f t="shared" ca="1" si="51"/>
        <v>0</v>
      </c>
      <c r="O278">
        <f t="shared" ca="1" si="52"/>
        <v>0</v>
      </c>
      <c r="R278" s="1"/>
    </row>
    <row r="279" spans="7:18" x14ac:dyDescent="0.25">
      <c r="G279" t="str">
        <f t="shared" si="53"/>
        <v>D15-R15</v>
      </c>
      <c r="H279" t="str">
        <f>$A$13</f>
        <v>D9-R9</v>
      </c>
      <c r="I279" s="13" t="str">
        <f t="shared" ca="1" si="54"/>
        <v>A</v>
      </c>
      <c r="J279" s="13" t="str">
        <f t="shared" ca="1" si="55"/>
        <v>Frequent</v>
      </c>
      <c r="K279" s="17" t="str">
        <f ca="1">$D$13</f>
        <v>A</v>
      </c>
      <c r="L279" s="15" t="str">
        <f ca="1">$E$13</f>
        <v>Frequent</v>
      </c>
      <c r="M279" s="13">
        <f t="shared" ca="1" si="51"/>
        <v>1</v>
      </c>
      <c r="N279" s="3">
        <f t="shared" ca="1" si="51"/>
        <v>1</v>
      </c>
      <c r="O279">
        <f t="shared" ca="1" si="52"/>
        <v>1</v>
      </c>
      <c r="R279" s="1"/>
    </row>
    <row r="280" spans="7:18" x14ac:dyDescent="0.25">
      <c r="G280" t="str">
        <f t="shared" si="53"/>
        <v>D15-R15</v>
      </c>
      <c r="H280" t="str">
        <f>$A$14</f>
        <v>D10-R10</v>
      </c>
      <c r="I280" s="13" t="str">
        <f t="shared" ca="1" si="54"/>
        <v>A</v>
      </c>
      <c r="J280" s="13" t="str">
        <f t="shared" ca="1" si="55"/>
        <v>Frequent</v>
      </c>
      <c r="K280" s="12" t="str">
        <f ca="1">$D$14</f>
        <v>A</v>
      </c>
      <c r="L280" s="11" t="str">
        <f ca="1">$E$14</f>
        <v>Frequent</v>
      </c>
      <c r="M280" s="13">
        <f t="shared" ca="1" si="51"/>
        <v>1</v>
      </c>
      <c r="N280" s="3">
        <f t="shared" ca="1" si="51"/>
        <v>1</v>
      </c>
      <c r="O280">
        <f t="shared" ca="1" si="52"/>
        <v>1</v>
      </c>
      <c r="R280" s="1"/>
    </row>
    <row r="281" spans="7:18" x14ac:dyDescent="0.25">
      <c r="G281" t="str">
        <f t="shared" si="53"/>
        <v>D15-R15</v>
      </c>
      <c r="H281" t="str">
        <f>$A$15</f>
        <v>D11-R11</v>
      </c>
      <c r="I281" s="13" t="str">
        <f t="shared" ca="1" si="54"/>
        <v>A</v>
      </c>
      <c r="J281" s="13" t="str">
        <f t="shared" ca="1" si="55"/>
        <v>Frequent</v>
      </c>
      <c r="K281" s="17" t="str">
        <f ca="1">$D$15</f>
        <v>AB</v>
      </c>
      <c r="L281" s="15" t="str">
        <f ca="1">$E$15</f>
        <v>Frequent</v>
      </c>
      <c r="M281" s="13">
        <f t="shared" ca="1" si="51"/>
        <v>1</v>
      </c>
      <c r="N281" s="3">
        <f t="shared" ca="1" si="51"/>
        <v>1</v>
      </c>
      <c r="O281">
        <f t="shared" ca="1" si="52"/>
        <v>1</v>
      </c>
      <c r="R281" s="1"/>
    </row>
    <row r="282" spans="7:18" x14ac:dyDescent="0.25">
      <c r="G282" t="str">
        <f t="shared" si="53"/>
        <v>D15-R15</v>
      </c>
      <c r="H282" t="str">
        <f>$A$16</f>
        <v>D12-R12</v>
      </c>
      <c r="I282" s="13" t="str">
        <f t="shared" ca="1" si="54"/>
        <v>A</v>
      </c>
      <c r="J282" s="13" t="str">
        <f t="shared" ca="1" si="55"/>
        <v>Frequent</v>
      </c>
      <c r="K282" s="17" t="str">
        <f ca="1">$D$16</f>
        <v>B</v>
      </c>
      <c r="L282" s="15" t="str">
        <f ca="1">$E$16</f>
        <v>Rare</v>
      </c>
      <c r="M282" s="13">
        <f t="shared" ca="1" si="51"/>
        <v>0</v>
      </c>
      <c r="N282" s="3">
        <f t="shared" ca="1" si="51"/>
        <v>0</v>
      </c>
      <c r="O282">
        <f t="shared" ca="1" si="52"/>
        <v>0</v>
      </c>
      <c r="R282" s="1"/>
    </row>
    <row r="283" spans="7:18" x14ac:dyDescent="0.25">
      <c r="G283" t="str">
        <f t="shared" si="53"/>
        <v>D15-R15</v>
      </c>
      <c r="H283" t="str">
        <f>$A$17</f>
        <v>D13-R13</v>
      </c>
      <c r="I283" s="13" t="str">
        <f t="shared" ca="1" si="54"/>
        <v>A</v>
      </c>
      <c r="J283" s="13" t="str">
        <f t="shared" ca="1" si="55"/>
        <v>Frequent</v>
      </c>
      <c r="K283" s="17" t="str">
        <f ca="1">$D$17</f>
        <v>AB</v>
      </c>
      <c r="L283" s="15" t="str">
        <f ca="1">$E$17</f>
        <v>Frequent</v>
      </c>
      <c r="M283" s="13">
        <f t="shared" ca="1" si="51"/>
        <v>1</v>
      </c>
      <c r="N283" s="3">
        <f t="shared" ca="1" si="51"/>
        <v>1</v>
      </c>
      <c r="O283">
        <f t="shared" ca="1" si="52"/>
        <v>1</v>
      </c>
      <c r="R283" s="1"/>
    </row>
    <row r="284" spans="7:18" x14ac:dyDescent="0.25">
      <c r="G284" t="str">
        <f t="shared" si="53"/>
        <v>D15-R15</v>
      </c>
      <c r="H284" t="str">
        <f>$A$18</f>
        <v>D14-R14</v>
      </c>
      <c r="I284" s="13" t="str">
        <f t="shared" ca="1" si="54"/>
        <v>A</v>
      </c>
      <c r="J284" s="13" t="str">
        <f t="shared" ca="1" si="55"/>
        <v>Frequent</v>
      </c>
      <c r="K284" s="17" t="str">
        <f ca="1">$D$18</f>
        <v>B</v>
      </c>
      <c r="L284" s="15" t="str">
        <f ca="1">$E$18</f>
        <v>Frequent</v>
      </c>
      <c r="M284" s="13">
        <f t="shared" ca="1" si="51"/>
        <v>0</v>
      </c>
      <c r="N284" s="3">
        <f t="shared" ca="1" si="51"/>
        <v>1</v>
      </c>
      <c r="O284">
        <f t="shared" ca="1" si="52"/>
        <v>0</v>
      </c>
      <c r="R284" s="1"/>
    </row>
    <row r="285" spans="7:18" x14ac:dyDescent="0.25">
      <c r="G285" t="str">
        <f t="shared" si="53"/>
        <v>D15-R15</v>
      </c>
      <c r="H285" t="str">
        <f>$A$20</f>
        <v>D16-R16</v>
      </c>
      <c r="I285" s="13" t="str">
        <f t="shared" ca="1" si="54"/>
        <v>A</v>
      </c>
      <c r="J285" s="13" t="str">
        <f t="shared" ca="1" si="55"/>
        <v>Frequent</v>
      </c>
      <c r="K285" s="17" t="str">
        <f ca="1">$D$20</f>
        <v>B</v>
      </c>
      <c r="L285" s="15" t="str">
        <f ca="1">$E$20</f>
        <v>Frequent</v>
      </c>
      <c r="M285" s="13">
        <f t="shared" ca="1" si="51"/>
        <v>0</v>
      </c>
      <c r="N285" s="3">
        <f t="shared" ca="1" si="51"/>
        <v>1</v>
      </c>
      <c r="O285">
        <f t="shared" ca="1" si="52"/>
        <v>0</v>
      </c>
      <c r="R285" s="1"/>
    </row>
    <row r="286" spans="7:18" x14ac:dyDescent="0.25">
      <c r="G286" t="str">
        <f t="shared" si="53"/>
        <v>D15-R15</v>
      </c>
      <c r="H286" t="str">
        <f>$A$21</f>
        <v>D17-R17</v>
      </c>
      <c r="I286" s="13" t="str">
        <f t="shared" ca="1" si="54"/>
        <v>A</v>
      </c>
      <c r="J286" s="13" t="str">
        <f t="shared" ca="1" si="55"/>
        <v>Frequent</v>
      </c>
      <c r="K286" s="12" t="str">
        <f ca="1">$D$21</f>
        <v>B</v>
      </c>
      <c r="L286" s="11" t="str">
        <f ca="1">$E$21</f>
        <v>Rare</v>
      </c>
      <c r="M286" s="13">
        <f t="shared" ca="1" si="51"/>
        <v>0</v>
      </c>
      <c r="N286" s="3">
        <f t="shared" ca="1" si="51"/>
        <v>0</v>
      </c>
      <c r="O286">
        <f t="shared" ca="1" si="52"/>
        <v>0</v>
      </c>
      <c r="R286" s="1"/>
    </row>
    <row r="287" spans="7:18" x14ac:dyDescent="0.25">
      <c r="G287" t="str">
        <f t="shared" si="53"/>
        <v>D15-R15</v>
      </c>
      <c r="H287" t="str">
        <f>$A$22</f>
        <v>D18-R18</v>
      </c>
      <c r="I287" s="13" t="str">
        <f t="shared" ca="1" si="54"/>
        <v>A</v>
      </c>
      <c r="J287" s="13" t="str">
        <f t="shared" ca="1" si="55"/>
        <v>Frequent</v>
      </c>
      <c r="K287" s="12" t="str">
        <f ca="1">$D$22</f>
        <v>A</v>
      </c>
      <c r="L287" s="11" t="str">
        <f ca="1">$E$22</f>
        <v>Rare</v>
      </c>
      <c r="M287" s="13">
        <f t="shared" ca="1" si="51"/>
        <v>1</v>
      </c>
      <c r="N287" s="3">
        <f t="shared" ca="1" si="51"/>
        <v>0</v>
      </c>
      <c r="O287">
        <f t="shared" ca="1" si="52"/>
        <v>0</v>
      </c>
      <c r="R287" s="1"/>
    </row>
    <row r="288" spans="7:18" x14ac:dyDescent="0.25">
      <c r="G288" t="str">
        <f t="shared" si="53"/>
        <v>D15-R15</v>
      </c>
      <c r="H288" t="str">
        <f>$A$23</f>
        <v>D19-R19</v>
      </c>
      <c r="I288" s="13" t="str">
        <f t="shared" ca="1" si="54"/>
        <v>A</v>
      </c>
      <c r="J288" s="13" t="str">
        <f t="shared" ca="1" si="55"/>
        <v>Frequent</v>
      </c>
      <c r="K288" s="12" t="str">
        <f ca="1">$D$23</f>
        <v>B</v>
      </c>
      <c r="L288" s="11" t="str">
        <f ca="1">$E$23</f>
        <v>Rare</v>
      </c>
      <c r="M288" s="13">
        <f t="shared" ca="1" si="51"/>
        <v>0</v>
      </c>
      <c r="N288" s="3">
        <f t="shared" ca="1" si="51"/>
        <v>0</v>
      </c>
      <c r="O288">
        <f t="shared" ca="1" si="52"/>
        <v>0</v>
      </c>
      <c r="R288" s="1"/>
    </row>
    <row r="289" spans="7:18" x14ac:dyDescent="0.25">
      <c r="G289" t="str">
        <f t="shared" si="53"/>
        <v>D15-R15</v>
      </c>
      <c r="H289" t="str">
        <f>$A$24</f>
        <v>D20-R20</v>
      </c>
      <c r="I289" s="13" t="str">
        <f t="shared" ca="1" si="54"/>
        <v>A</v>
      </c>
      <c r="J289" s="13" t="str">
        <f t="shared" ca="1" si="55"/>
        <v>Frequent</v>
      </c>
      <c r="K289" s="12" t="str">
        <f ca="1">$D$24</f>
        <v>AB</v>
      </c>
      <c r="L289" s="11" t="str">
        <f ca="1">$E$24</f>
        <v>Rare</v>
      </c>
      <c r="M289" s="13">
        <f t="shared" ca="1" si="51"/>
        <v>1</v>
      </c>
      <c r="N289" s="3">
        <f t="shared" ca="1" si="51"/>
        <v>0</v>
      </c>
      <c r="O289">
        <f t="shared" ca="1" si="52"/>
        <v>0</v>
      </c>
      <c r="R289" s="1"/>
    </row>
    <row r="290" spans="7:18" x14ac:dyDescent="0.25">
      <c r="G290" t="str">
        <f>$A$20</f>
        <v>D16-R16</v>
      </c>
      <c r="H290" t="str">
        <f>$A$5</f>
        <v>D1-R1</v>
      </c>
      <c r="I290" s="13" t="str">
        <f ca="1">$B$20</f>
        <v>A</v>
      </c>
      <c r="J290" s="13" t="str">
        <f ca="1">$C$20</f>
        <v>Frequent</v>
      </c>
      <c r="K290" s="16" t="str">
        <f ca="1">$D$5</f>
        <v>O</v>
      </c>
      <c r="L290" s="13" t="str">
        <f ca="1">$E$5</f>
        <v>Rare</v>
      </c>
      <c r="M290" s="13">
        <f t="shared" ca="1" si="51"/>
        <v>0</v>
      </c>
      <c r="N290" s="3">
        <f t="shared" ca="1" si="51"/>
        <v>0</v>
      </c>
      <c r="O290">
        <f t="shared" ca="1" si="52"/>
        <v>0</v>
      </c>
      <c r="R290" s="1"/>
    </row>
    <row r="291" spans="7:18" x14ac:dyDescent="0.25">
      <c r="G291" t="str">
        <f t="shared" ref="G291:G308" si="56">$A$20</f>
        <v>D16-R16</v>
      </c>
      <c r="H291" t="str">
        <f>$A$6</f>
        <v>D2-R2</v>
      </c>
      <c r="I291" s="13" t="str">
        <f t="shared" ref="I291:I308" ca="1" si="57">$B$20</f>
        <v>A</v>
      </c>
      <c r="J291" s="13" t="str">
        <f t="shared" ref="J291:J308" ca="1" si="58">$C$20</f>
        <v>Frequent</v>
      </c>
      <c r="K291" s="16" t="str">
        <f ca="1">$D$6</f>
        <v>AB</v>
      </c>
      <c r="L291" s="13" t="str">
        <f ca="1">$E$6</f>
        <v>Frequent</v>
      </c>
      <c r="M291" s="13">
        <f t="shared" ca="1" si="51"/>
        <v>1</v>
      </c>
      <c r="N291" s="3">
        <f t="shared" ca="1" si="51"/>
        <v>1</v>
      </c>
      <c r="O291">
        <f t="shared" ca="1" si="52"/>
        <v>1</v>
      </c>
      <c r="R291" s="1"/>
    </row>
    <row r="292" spans="7:18" x14ac:dyDescent="0.25">
      <c r="G292" t="str">
        <f t="shared" si="56"/>
        <v>D16-R16</v>
      </c>
      <c r="H292" t="str">
        <f>$A$7</f>
        <v>D3-R3</v>
      </c>
      <c r="I292" s="13" t="str">
        <f t="shared" ca="1" si="57"/>
        <v>A</v>
      </c>
      <c r="J292" s="13" t="str">
        <f t="shared" ca="1" si="58"/>
        <v>Frequent</v>
      </c>
      <c r="K292" s="12" t="str">
        <f ca="1">$D$7</f>
        <v>B</v>
      </c>
      <c r="L292" s="11" t="str">
        <f ca="1">$E$7</f>
        <v>Frequent</v>
      </c>
      <c r="M292" s="13">
        <f t="shared" ca="1" si="51"/>
        <v>0</v>
      </c>
      <c r="N292" s="3">
        <f t="shared" ca="1" si="51"/>
        <v>1</v>
      </c>
      <c r="O292">
        <f t="shared" ca="1" si="52"/>
        <v>0</v>
      </c>
      <c r="R292" s="1"/>
    </row>
    <row r="293" spans="7:18" x14ac:dyDescent="0.25">
      <c r="G293" t="str">
        <f t="shared" si="56"/>
        <v>D16-R16</v>
      </c>
      <c r="H293" t="str">
        <f>$A$8</f>
        <v>D4-R4</v>
      </c>
      <c r="I293" s="13" t="str">
        <f t="shared" ca="1" si="57"/>
        <v>A</v>
      </c>
      <c r="J293" s="13" t="str">
        <f t="shared" ca="1" si="58"/>
        <v>Frequent</v>
      </c>
      <c r="K293" s="17" t="str">
        <f ca="1">$D$8</f>
        <v>A</v>
      </c>
      <c r="L293" s="15" t="str">
        <f ca="1">$E$8</f>
        <v>Frequent</v>
      </c>
      <c r="M293" s="13">
        <f t="shared" ca="1" si="51"/>
        <v>1</v>
      </c>
      <c r="N293" s="3">
        <f t="shared" ca="1" si="51"/>
        <v>1</v>
      </c>
      <c r="O293">
        <f t="shared" ca="1" si="52"/>
        <v>1</v>
      </c>
      <c r="R293" s="1"/>
    </row>
    <row r="294" spans="7:18" x14ac:dyDescent="0.25">
      <c r="G294" t="str">
        <f t="shared" si="56"/>
        <v>D16-R16</v>
      </c>
      <c r="H294" t="str">
        <f>$A$9</f>
        <v>D5-R5</v>
      </c>
      <c r="I294" s="13" t="str">
        <f t="shared" ca="1" si="57"/>
        <v>A</v>
      </c>
      <c r="J294" s="13" t="str">
        <f t="shared" ca="1" si="58"/>
        <v>Frequent</v>
      </c>
      <c r="K294" s="17" t="str">
        <f ca="1">$D$9</f>
        <v>AB</v>
      </c>
      <c r="L294" s="15" t="str">
        <f ca="1">$E$9</f>
        <v>Rare</v>
      </c>
      <c r="M294" s="13">
        <f t="shared" ca="1" si="51"/>
        <v>1</v>
      </c>
      <c r="N294" s="3">
        <f t="shared" ca="1" si="51"/>
        <v>0</v>
      </c>
      <c r="O294">
        <f t="shared" ca="1" si="52"/>
        <v>0</v>
      </c>
      <c r="R294" s="1"/>
    </row>
    <row r="295" spans="7:18" x14ac:dyDescent="0.25">
      <c r="G295" t="str">
        <f t="shared" si="56"/>
        <v>D16-R16</v>
      </c>
      <c r="H295" t="str">
        <f>$A$10</f>
        <v>D6-R6</v>
      </c>
      <c r="I295" s="13" t="str">
        <f t="shared" ca="1" si="57"/>
        <v>A</v>
      </c>
      <c r="J295" s="13" t="str">
        <f t="shared" ca="1" si="58"/>
        <v>Frequent</v>
      </c>
      <c r="K295" s="17" t="str">
        <f ca="1">$D$10</f>
        <v>AB</v>
      </c>
      <c r="L295" s="15" t="str">
        <f ca="1">$E$10</f>
        <v>Frequent</v>
      </c>
      <c r="M295" s="13">
        <f t="shared" ca="1" si="51"/>
        <v>1</v>
      </c>
      <c r="N295" s="3">
        <f t="shared" ca="1" si="51"/>
        <v>1</v>
      </c>
      <c r="O295">
        <f t="shared" ca="1" si="52"/>
        <v>1</v>
      </c>
      <c r="R295" s="1"/>
    </row>
    <row r="296" spans="7:18" x14ac:dyDescent="0.25">
      <c r="G296" t="str">
        <f t="shared" si="56"/>
        <v>D16-R16</v>
      </c>
      <c r="H296" t="str">
        <f>$A$11</f>
        <v>D7-R7</v>
      </c>
      <c r="I296" s="13" t="str">
        <f t="shared" ca="1" si="57"/>
        <v>A</v>
      </c>
      <c r="J296" s="13" t="str">
        <f t="shared" ca="1" si="58"/>
        <v>Frequent</v>
      </c>
      <c r="K296" s="17" t="str">
        <f ca="1">$D$11</f>
        <v>O</v>
      </c>
      <c r="L296" s="15" t="str">
        <f ca="1">$E$11</f>
        <v>Frequent</v>
      </c>
      <c r="M296" s="13">
        <f t="shared" ca="1" si="51"/>
        <v>0</v>
      </c>
      <c r="N296" s="3">
        <f t="shared" ca="1" si="51"/>
        <v>1</v>
      </c>
      <c r="O296">
        <f t="shared" ca="1" si="52"/>
        <v>0</v>
      </c>
      <c r="R296" s="1"/>
    </row>
    <row r="297" spans="7:18" x14ac:dyDescent="0.25">
      <c r="G297" t="str">
        <f t="shared" si="56"/>
        <v>D16-R16</v>
      </c>
      <c r="H297" t="str">
        <f>$A$12</f>
        <v>D8-R8</v>
      </c>
      <c r="I297" s="13" t="str">
        <f t="shared" ca="1" si="57"/>
        <v>A</v>
      </c>
      <c r="J297" s="13" t="str">
        <f t="shared" ca="1" si="58"/>
        <v>Frequent</v>
      </c>
      <c r="K297" s="17" t="str">
        <f ca="1">$D$12</f>
        <v>B</v>
      </c>
      <c r="L297" s="15" t="str">
        <f ca="1">$E$12</f>
        <v>Rare</v>
      </c>
      <c r="M297" s="13">
        <f t="shared" ca="1" si="51"/>
        <v>0</v>
      </c>
      <c r="N297" s="3">
        <f t="shared" ca="1" si="51"/>
        <v>0</v>
      </c>
      <c r="O297">
        <f t="shared" ca="1" si="52"/>
        <v>0</v>
      </c>
      <c r="R297" s="1"/>
    </row>
    <row r="298" spans="7:18" x14ac:dyDescent="0.25">
      <c r="G298" t="str">
        <f t="shared" si="56"/>
        <v>D16-R16</v>
      </c>
      <c r="H298" t="str">
        <f>$A$13</f>
        <v>D9-R9</v>
      </c>
      <c r="I298" s="13" t="str">
        <f t="shared" ca="1" si="57"/>
        <v>A</v>
      </c>
      <c r="J298" s="13" t="str">
        <f t="shared" ca="1" si="58"/>
        <v>Frequent</v>
      </c>
      <c r="K298" s="17" t="str">
        <f ca="1">$D$13</f>
        <v>A</v>
      </c>
      <c r="L298" s="15" t="str">
        <f ca="1">$E$13</f>
        <v>Frequent</v>
      </c>
      <c r="M298" s="13">
        <f t="shared" ca="1" si="51"/>
        <v>1</v>
      </c>
      <c r="N298" s="3">
        <f t="shared" ca="1" si="51"/>
        <v>1</v>
      </c>
      <c r="O298">
        <f t="shared" ca="1" si="52"/>
        <v>1</v>
      </c>
      <c r="R298" s="1"/>
    </row>
    <row r="299" spans="7:18" x14ac:dyDescent="0.25">
      <c r="G299" t="str">
        <f t="shared" si="56"/>
        <v>D16-R16</v>
      </c>
      <c r="H299" t="str">
        <f>$A$14</f>
        <v>D10-R10</v>
      </c>
      <c r="I299" s="13" t="str">
        <f t="shared" ca="1" si="57"/>
        <v>A</v>
      </c>
      <c r="J299" s="13" t="str">
        <f t="shared" ca="1" si="58"/>
        <v>Frequent</v>
      </c>
      <c r="K299" s="12" t="str">
        <f ca="1">$D$14</f>
        <v>A</v>
      </c>
      <c r="L299" s="11" t="str">
        <f ca="1">$E$14</f>
        <v>Frequent</v>
      </c>
      <c r="M299" s="13">
        <f t="shared" ca="1" si="51"/>
        <v>1</v>
      </c>
      <c r="N299" s="3">
        <f t="shared" ca="1" si="51"/>
        <v>1</v>
      </c>
      <c r="O299">
        <f t="shared" ca="1" si="52"/>
        <v>1</v>
      </c>
      <c r="R299" s="1"/>
    </row>
    <row r="300" spans="7:18" x14ac:dyDescent="0.25">
      <c r="G300" t="str">
        <f t="shared" si="56"/>
        <v>D16-R16</v>
      </c>
      <c r="H300" t="str">
        <f>$A$15</f>
        <v>D11-R11</v>
      </c>
      <c r="I300" s="13" t="str">
        <f t="shared" ca="1" si="57"/>
        <v>A</v>
      </c>
      <c r="J300" s="13" t="str">
        <f t="shared" ca="1" si="58"/>
        <v>Frequent</v>
      </c>
      <c r="K300" s="17" t="str">
        <f ca="1">$D$15</f>
        <v>AB</v>
      </c>
      <c r="L300" s="15" t="str">
        <f ca="1">$E$15</f>
        <v>Frequent</v>
      </c>
      <c r="M300" s="13">
        <f t="shared" ca="1" si="51"/>
        <v>1</v>
      </c>
      <c r="N300" s="3">
        <f t="shared" ca="1" si="51"/>
        <v>1</v>
      </c>
      <c r="O300">
        <f t="shared" ca="1" si="52"/>
        <v>1</v>
      </c>
      <c r="R300" s="1"/>
    </row>
    <row r="301" spans="7:18" x14ac:dyDescent="0.25">
      <c r="G301" t="str">
        <f t="shared" si="56"/>
        <v>D16-R16</v>
      </c>
      <c r="H301" t="str">
        <f>$A$16</f>
        <v>D12-R12</v>
      </c>
      <c r="I301" s="13" t="str">
        <f t="shared" ca="1" si="57"/>
        <v>A</v>
      </c>
      <c r="J301" s="13" t="str">
        <f t="shared" ca="1" si="58"/>
        <v>Frequent</v>
      </c>
      <c r="K301" s="17" t="str">
        <f ca="1">$D$16</f>
        <v>B</v>
      </c>
      <c r="L301" s="15" t="str">
        <f ca="1">$E$16</f>
        <v>Rare</v>
      </c>
      <c r="M301" s="13">
        <f t="shared" ca="1" si="51"/>
        <v>0</v>
      </c>
      <c r="N301" s="3">
        <f t="shared" ca="1" si="51"/>
        <v>0</v>
      </c>
      <c r="O301">
        <f t="shared" ca="1" si="52"/>
        <v>0</v>
      </c>
      <c r="R301" s="1"/>
    </row>
    <row r="302" spans="7:18" x14ac:dyDescent="0.25">
      <c r="G302" t="str">
        <f t="shared" si="56"/>
        <v>D16-R16</v>
      </c>
      <c r="H302" t="str">
        <f>$A$17</f>
        <v>D13-R13</v>
      </c>
      <c r="I302" s="13" t="str">
        <f t="shared" ca="1" si="57"/>
        <v>A</v>
      </c>
      <c r="J302" s="13" t="str">
        <f t="shared" ca="1" si="58"/>
        <v>Frequent</v>
      </c>
      <c r="K302" s="17" t="str">
        <f ca="1">$D$17</f>
        <v>AB</v>
      </c>
      <c r="L302" s="15" t="str">
        <f ca="1">$E$17</f>
        <v>Frequent</v>
      </c>
      <c r="M302" s="13">
        <f t="shared" ca="1" si="51"/>
        <v>1</v>
      </c>
      <c r="N302" s="3">
        <f t="shared" ca="1" si="51"/>
        <v>1</v>
      </c>
      <c r="O302">
        <f t="shared" ca="1" si="52"/>
        <v>1</v>
      </c>
      <c r="R302" s="1"/>
    </row>
    <row r="303" spans="7:18" x14ac:dyDescent="0.25">
      <c r="G303" t="str">
        <f t="shared" si="56"/>
        <v>D16-R16</v>
      </c>
      <c r="H303" t="str">
        <f>$A$18</f>
        <v>D14-R14</v>
      </c>
      <c r="I303" s="13" t="str">
        <f t="shared" ca="1" si="57"/>
        <v>A</v>
      </c>
      <c r="J303" s="13" t="str">
        <f t="shared" ca="1" si="58"/>
        <v>Frequent</v>
      </c>
      <c r="K303" s="17" t="str">
        <f ca="1">$D$18</f>
        <v>B</v>
      </c>
      <c r="L303" s="15" t="str">
        <f ca="1">$E$18</f>
        <v>Frequent</v>
      </c>
      <c r="M303" s="13">
        <f t="shared" ca="1" si="51"/>
        <v>0</v>
      </c>
      <c r="N303" s="3">
        <f t="shared" ca="1" si="51"/>
        <v>1</v>
      </c>
      <c r="O303">
        <f t="shared" ca="1" si="52"/>
        <v>0</v>
      </c>
      <c r="R303" s="1"/>
    </row>
    <row r="304" spans="7:18" x14ac:dyDescent="0.25">
      <c r="G304" t="str">
        <f t="shared" si="56"/>
        <v>D16-R16</v>
      </c>
      <c r="H304" t="str">
        <f>$A$19</f>
        <v>D15-R15</v>
      </c>
      <c r="I304" s="13" t="str">
        <f t="shared" ca="1" si="57"/>
        <v>A</v>
      </c>
      <c r="J304" s="13" t="str">
        <f t="shared" ca="1" si="58"/>
        <v>Frequent</v>
      </c>
      <c r="K304" s="17" t="str">
        <f ca="1">$D$19</f>
        <v>B</v>
      </c>
      <c r="L304" s="15" t="str">
        <f ca="1">$E$19</f>
        <v>Frequent</v>
      </c>
      <c r="M304" s="13">
        <f t="shared" ca="1" si="51"/>
        <v>0</v>
      </c>
      <c r="N304" s="3">
        <f t="shared" ca="1" si="51"/>
        <v>1</v>
      </c>
      <c r="O304">
        <f t="shared" ca="1" si="52"/>
        <v>0</v>
      </c>
      <c r="R304" s="1"/>
    </row>
    <row r="305" spans="7:18" x14ac:dyDescent="0.25">
      <c r="G305" t="str">
        <f t="shared" si="56"/>
        <v>D16-R16</v>
      </c>
      <c r="H305" t="str">
        <f>$A$21</f>
        <v>D17-R17</v>
      </c>
      <c r="I305" s="13" t="str">
        <f t="shared" ca="1" si="57"/>
        <v>A</v>
      </c>
      <c r="J305" s="13" t="str">
        <f t="shared" ca="1" si="58"/>
        <v>Frequent</v>
      </c>
      <c r="K305" s="12" t="str">
        <f ca="1">$D$21</f>
        <v>B</v>
      </c>
      <c r="L305" s="11" t="str">
        <f ca="1">$E$21</f>
        <v>Rare</v>
      </c>
      <c r="M305" s="13">
        <f t="shared" ca="1" si="51"/>
        <v>0</v>
      </c>
      <c r="N305" s="3">
        <f t="shared" ca="1" si="51"/>
        <v>0</v>
      </c>
      <c r="O305">
        <f t="shared" ca="1" si="52"/>
        <v>0</v>
      </c>
      <c r="R305" s="1"/>
    </row>
    <row r="306" spans="7:18" x14ac:dyDescent="0.25">
      <c r="G306" t="str">
        <f t="shared" si="56"/>
        <v>D16-R16</v>
      </c>
      <c r="H306" t="str">
        <f>$A$22</f>
        <v>D18-R18</v>
      </c>
      <c r="I306" s="13" t="str">
        <f t="shared" ca="1" si="57"/>
        <v>A</v>
      </c>
      <c r="J306" s="13" t="str">
        <f t="shared" ca="1" si="58"/>
        <v>Frequent</v>
      </c>
      <c r="K306" s="12" t="str">
        <f ca="1">$D$22</f>
        <v>A</v>
      </c>
      <c r="L306" s="11" t="str">
        <f ca="1">$E$22</f>
        <v>Rare</v>
      </c>
      <c r="M306" s="13">
        <f t="shared" ca="1" si="51"/>
        <v>1</v>
      </c>
      <c r="N306" s="3">
        <f t="shared" ca="1" si="51"/>
        <v>0</v>
      </c>
      <c r="O306">
        <f t="shared" ca="1" si="52"/>
        <v>0</v>
      </c>
      <c r="R306" s="1"/>
    </row>
    <row r="307" spans="7:18" x14ac:dyDescent="0.25">
      <c r="G307" t="str">
        <f t="shared" si="56"/>
        <v>D16-R16</v>
      </c>
      <c r="H307" t="str">
        <f>$A$23</f>
        <v>D19-R19</v>
      </c>
      <c r="I307" s="13" t="str">
        <f t="shared" ca="1" si="57"/>
        <v>A</v>
      </c>
      <c r="J307" s="13" t="str">
        <f t="shared" ca="1" si="58"/>
        <v>Frequent</v>
      </c>
      <c r="K307" s="12" t="str">
        <f ca="1">$D$23</f>
        <v>B</v>
      </c>
      <c r="L307" s="11" t="str">
        <f ca="1">$E$23</f>
        <v>Rare</v>
      </c>
      <c r="M307" s="13">
        <f t="shared" ca="1" si="51"/>
        <v>0</v>
      </c>
      <c r="N307" s="3">
        <f t="shared" ca="1" si="51"/>
        <v>0</v>
      </c>
      <c r="O307">
        <f t="shared" ca="1" si="52"/>
        <v>0</v>
      </c>
      <c r="R307" s="1"/>
    </row>
    <row r="308" spans="7:18" x14ac:dyDescent="0.25">
      <c r="G308" t="str">
        <f t="shared" si="56"/>
        <v>D16-R16</v>
      </c>
      <c r="H308" t="str">
        <f>$A$24</f>
        <v>D20-R20</v>
      </c>
      <c r="I308" s="13" t="str">
        <f t="shared" ca="1" si="57"/>
        <v>A</v>
      </c>
      <c r="J308" s="13" t="str">
        <f t="shared" ca="1" si="58"/>
        <v>Frequent</v>
      </c>
      <c r="K308" s="12" t="str">
        <f ca="1">$D$24</f>
        <v>AB</v>
      </c>
      <c r="L308" s="11" t="str">
        <f ca="1">$E$24</f>
        <v>Rare</v>
      </c>
      <c r="M308" s="13">
        <f t="shared" ca="1" si="51"/>
        <v>1</v>
      </c>
      <c r="N308" s="3">
        <f t="shared" ca="1" si="51"/>
        <v>0</v>
      </c>
      <c r="O308">
        <f t="shared" ca="1" si="52"/>
        <v>0</v>
      </c>
      <c r="R308" s="1"/>
    </row>
    <row r="309" spans="7:18" x14ac:dyDescent="0.25">
      <c r="G309" t="str">
        <f>$A$21</f>
        <v>D17-R17</v>
      </c>
      <c r="H309" t="str">
        <f>$A$5</f>
        <v>D1-R1</v>
      </c>
      <c r="I309" s="13" t="str">
        <f ca="1">$B$21</f>
        <v>O</v>
      </c>
      <c r="J309" s="13" t="str">
        <f ca="1">$C$21</f>
        <v>Rare</v>
      </c>
      <c r="K309" s="16" t="str">
        <f ca="1">$D$5</f>
        <v>O</v>
      </c>
      <c r="L309" s="13" t="str">
        <f ca="1">$E$5</f>
        <v>Rare</v>
      </c>
      <c r="M309" s="13">
        <f t="shared" ca="1" si="51"/>
        <v>1</v>
      </c>
      <c r="N309" s="3">
        <f t="shared" ca="1" si="51"/>
        <v>1</v>
      </c>
      <c r="O309">
        <f t="shared" ca="1" si="52"/>
        <v>1</v>
      </c>
      <c r="R309" s="1"/>
    </row>
    <row r="310" spans="7:18" x14ac:dyDescent="0.25">
      <c r="G310" t="str">
        <f t="shared" ref="G310:G327" si="59">$A$21</f>
        <v>D17-R17</v>
      </c>
      <c r="H310" t="str">
        <f>$A$6</f>
        <v>D2-R2</v>
      </c>
      <c r="I310" s="13" t="str">
        <f t="shared" ref="I310:I327" ca="1" si="60">$B$21</f>
        <v>O</v>
      </c>
      <c r="J310" s="13" t="str">
        <f t="shared" ref="J310:J327" ca="1" si="61">$C$21</f>
        <v>Rare</v>
      </c>
      <c r="K310" s="16" t="str">
        <f ca="1">$D$6</f>
        <v>AB</v>
      </c>
      <c r="L310" s="13" t="str">
        <f ca="1">$E$6</f>
        <v>Frequent</v>
      </c>
      <c r="M310" s="13">
        <f t="shared" ca="1" si="51"/>
        <v>1</v>
      </c>
      <c r="N310" s="3">
        <f t="shared" ca="1" si="51"/>
        <v>1</v>
      </c>
      <c r="O310">
        <f t="shared" ca="1" si="52"/>
        <v>1</v>
      </c>
      <c r="R310" s="1"/>
    </row>
    <row r="311" spans="7:18" x14ac:dyDescent="0.25">
      <c r="G311" t="str">
        <f t="shared" si="59"/>
        <v>D17-R17</v>
      </c>
      <c r="H311" t="str">
        <f>$A$7</f>
        <v>D3-R3</v>
      </c>
      <c r="I311" s="13" t="str">
        <f t="shared" ca="1" si="60"/>
        <v>O</v>
      </c>
      <c r="J311" s="13" t="str">
        <f t="shared" ca="1" si="61"/>
        <v>Rare</v>
      </c>
      <c r="K311" s="12" t="str">
        <f ca="1">$D$7</f>
        <v>B</v>
      </c>
      <c r="L311" s="11" t="str">
        <f ca="1">$E$7</f>
        <v>Frequent</v>
      </c>
      <c r="M311" s="13">
        <f t="shared" ca="1" si="51"/>
        <v>1</v>
      </c>
      <c r="N311" s="3">
        <f t="shared" ca="1" si="51"/>
        <v>1</v>
      </c>
      <c r="O311">
        <f t="shared" ca="1" si="52"/>
        <v>1</v>
      </c>
      <c r="R311" s="1"/>
    </row>
    <row r="312" spans="7:18" x14ac:dyDescent="0.25">
      <c r="G312" t="str">
        <f t="shared" si="59"/>
        <v>D17-R17</v>
      </c>
      <c r="H312" t="str">
        <f>$A$8</f>
        <v>D4-R4</v>
      </c>
      <c r="I312" s="13" t="str">
        <f t="shared" ca="1" si="60"/>
        <v>O</v>
      </c>
      <c r="J312" s="13" t="str">
        <f t="shared" ca="1" si="61"/>
        <v>Rare</v>
      </c>
      <c r="K312" s="17" t="str">
        <f ca="1">$D$8</f>
        <v>A</v>
      </c>
      <c r="L312" s="15" t="str">
        <f ca="1">$E$8</f>
        <v>Frequent</v>
      </c>
      <c r="M312" s="13">
        <f t="shared" ca="1" si="51"/>
        <v>1</v>
      </c>
      <c r="N312" s="3">
        <f t="shared" ca="1" si="51"/>
        <v>1</v>
      </c>
      <c r="O312">
        <f t="shared" ca="1" si="52"/>
        <v>1</v>
      </c>
      <c r="R312" s="1"/>
    </row>
    <row r="313" spans="7:18" x14ac:dyDescent="0.25">
      <c r="G313" t="str">
        <f t="shared" si="59"/>
        <v>D17-R17</v>
      </c>
      <c r="H313" t="str">
        <f>$A$9</f>
        <v>D5-R5</v>
      </c>
      <c r="I313" s="13" t="str">
        <f t="shared" ca="1" si="60"/>
        <v>O</v>
      </c>
      <c r="J313" s="13" t="str">
        <f t="shared" ca="1" si="61"/>
        <v>Rare</v>
      </c>
      <c r="K313" s="17" t="str">
        <f ca="1">$D$9</f>
        <v>AB</v>
      </c>
      <c r="L313" s="15" t="str">
        <f ca="1">$E$9</f>
        <v>Rare</v>
      </c>
      <c r="M313" s="13">
        <f t="shared" ca="1" si="51"/>
        <v>1</v>
      </c>
      <c r="N313" s="3">
        <f t="shared" ca="1" si="51"/>
        <v>1</v>
      </c>
      <c r="O313">
        <f t="shared" ca="1" si="52"/>
        <v>1</v>
      </c>
      <c r="R313" s="1"/>
    </row>
    <row r="314" spans="7:18" x14ac:dyDescent="0.25">
      <c r="G314" t="str">
        <f t="shared" si="59"/>
        <v>D17-R17</v>
      </c>
      <c r="H314" t="str">
        <f>$A$10</f>
        <v>D6-R6</v>
      </c>
      <c r="I314" s="13" t="str">
        <f t="shared" ca="1" si="60"/>
        <v>O</v>
      </c>
      <c r="J314" s="13" t="str">
        <f t="shared" ca="1" si="61"/>
        <v>Rare</v>
      </c>
      <c r="K314" s="17" t="str">
        <f ca="1">$D$10</f>
        <v>AB</v>
      </c>
      <c r="L314" s="15" t="str">
        <f ca="1">$E$10</f>
        <v>Frequent</v>
      </c>
      <c r="M314" s="13">
        <f t="shared" ca="1" si="51"/>
        <v>1</v>
      </c>
      <c r="N314" s="3">
        <f t="shared" ca="1" si="51"/>
        <v>1</v>
      </c>
      <c r="O314">
        <f t="shared" ca="1" si="52"/>
        <v>1</v>
      </c>
      <c r="R314" s="1"/>
    </row>
    <row r="315" spans="7:18" x14ac:dyDescent="0.25">
      <c r="G315" t="str">
        <f t="shared" si="59"/>
        <v>D17-R17</v>
      </c>
      <c r="H315" t="str">
        <f>$A$11</f>
        <v>D7-R7</v>
      </c>
      <c r="I315" s="13" t="str">
        <f t="shared" ca="1" si="60"/>
        <v>O</v>
      </c>
      <c r="J315" s="13" t="str">
        <f t="shared" ca="1" si="61"/>
        <v>Rare</v>
      </c>
      <c r="K315" s="17" t="str">
        <f ca="1">$D$11</f>
        <v>O</v>
      </c>
      <c r="L315" s="15" t="str">
        <f ca="1">$E$11</f>
        <v>Frequent</v>
      </c>
      <c r="M315" s="13">
        <f t="shared" ca="1" si="51"/>
        <v>1</v>
      </c>
      <c r="N315" s="3">
        <f t="shared" ca="1" si="51"/>
        <v>1</v>
      </c>
      <c r="O315">
        <f t="shared" ca="1" si="52"/>
        <v>1</v>
      </c>
      <c r="R315" s="1"/>
    </row>
    <row r="316" spans="7:18" x14ac:dyDescent="0.25">
      <c r="G316" t="str">
        <f t="shared" si="59"/>
        <v>D17-R17</v>
      </c>
      <c r="H316" t="str">
        <f>$A$12</f>
        <v>D8-R8</v>
      </c>
      <c r="I316" s="13" t="str">
        <f t="shared" ca="1" si="60"/>
        <v>O</v>
      </c>
      <c r="J316" s="13" t="str">
        <f t="shared" ca="1" si="61"/>
        <v>Rare</v>
      </c>
      <c r="K316" s="17" t="str">
        <f ca="1">$D$12</f>
        <v>B</v>
      </c>
      <c r="L316" s="15" t="str">
        <f ca="1">$E$12</f>
        <v>Rare</v>
      </c>
      <c r="M316" s="13">
        <f t="shared" ca="1" si="51"/>
        <v>1</v>
      </c>
      <c r="N316" s="3">
        <f t="shared" ca="1" si="51"/>
        <v>1</v>
      </c>
      <c r="O316">
        <f t="shared" ca="1" si="52"/>
        <v>1</v>
      </c>
      <c r="R316" s="1"/>
    </row>
    <row r="317" spans="7:18" x14ac:dyDescent="0.25">
      <c r="G317" t="str">
        <f t="shared" si="59"/>
        <v>D17-R17</v>
      </c>
      <c r="H317" t="str">
        <f>$A$13</f>
        <v>D9-R9</v>
      </c>
      <c r="I317" s="13" t="str">
        <f t="shared" ca="1" si="60"/>
        <v>O</v>
      </c>
      <c r="J317" s="13" t="str">
        <f t="shared" ca="1" si="61"/>
        <v>Rare</v>
      </c>
      <c r="K317" s="17" t="str">
        <f ca="1">$D$13</f>
        <v>A</v>
      </c>
      <c r="L317" s="15" t="str">
        <f ca="1">$E$13</f>
        <v>Frequent</v>
      </c>
      <c r="M317" s="13">
        <f t="shared" ca="1" si="51"/>
        <v>1</v>
      </c>
      <c r="N317" s="3">
        <f t="shared" ca="1" si="51"/>
        <v>1</v>
      </c>
      <c r="O317">
        <f t="shared" ca="1" si="52"/>
        <v>1</v>
      </c>
      <c r="R317" s="1"/>
    </row>
    <row r="318" spans="7:18" x14ac:dyDescent="0.25">
      <c r="G318" t="str">
        <f t="shared" si="59"/>
        <v>D17-R17</v>
      </c>
      <c r="H318" t="str">
        <f>$A$14</f>
        <v>D10-R10</v>
      </c>
      <c r="I318" s="13" t="str">
        <f t="shared" ca="1" si="60"/>
        <v>O</v>
      </c>
      <c r="J318" s="13" t="str">
        <f t="shared" ca="1" si="61"/>
        <v>Rare</v>
      </c>
      <c r="K318" s="12" t="str">
        <f ca="1">$D$14</f>
        <v>A</v>
      </c>
      <c r="L318" s="11" t="str">
        <f ca="1">$E$14</f>
        <v>Frequent</v>
      </c>
      <c r="M318" s="13">
        <f t="shared" ca="1" si="51"/>
        <v>1</v>
      </c>
      <c r="N318" s="3">
        <f t="shared" ca="1" si="51"/>
        <v>1</v>
      </c>
      <c r="O318">
        <f t="shared" ca="1" si="52"/>
        <v>1</v>
      </c>
      <c r="R318" s="1"/>
    </row>
    <row r="319" spans="7:18" x14ac:dyDescent="0.25">
      <c r="G319" t="str">
        <f t="shared" si="59"/>
        <v>D17-R17</v>
      </c>
      <c r="H319" t="str">
        <f>$A$15</f>
        <v>D11-R11</v>
      </c>
      <c r="I319" s="13" t="str">
        <f t="shared" ca="1" si="60"/>
        <v>O</v>
      </c>
      <c r="J319" s="13" t="str">
        <f t="shared" ca="1" si="61"/>
        <v>Rare</v>
      </c>
      <c r="K319" s="17" t="str">
        <f ca="1">$D$15</f>
        <v>AB</v>
      </c>
      <c r="L319" s="15" t="str">
        <f ca="1">$E$15</f>
        <v>Frequent</v>
      </c>
      <c r="M319" s="13">
        <f t="shared" ca="1" si="51"/>
        <v>1</v>
      </c>
      <c r="N319" s="3">
        <f t="shared" ca="1" si="51"/>
        <v>1</v>
      </c>
      <c r="O319">
        <f t="shared" ca="1" si="52"/>
        <v>1</v>
      </c>
      <c r="R319" s="1"/>
    </row>
    <row r="320" spans="7:18" x14ac:dyDescent="0.25">
      <c r="G320" t="str">
        <f t="shared" si="59"/>
        <v>D17-R17</v>
      </c>
      <c r="H320" t="str">
        <f>$A$16</f>
        <v>D12-R12</v>
      </c>
      <c r="I320" s="13" t="str">
        <f t="shared" ca="1" si="60"/>
        <v>O</v>
      </c>
      <c r="J320" s="13" t="str">
        <f t="shared" ca="1" si="61"/>
        <v>Rare</v>
      </c>
      <c r="K320" s="17" t="str">
        <f ca="1">$D$16</f>
        <v>B</v>
      </c>
      <c r="L320" s="15" t="str">
        <f ca="1">$E$16</f>
        <v>Rare</v>
      </c>
      <c r="M320" s="13">
        <f t="shared" ca="1" si="51"/>
        <v>1</v>
      </c>
      <c r="N320" s="3">
        <f t="shared" ca="1" si="51"/>
        <v>1</v>
      </c>
      <c r="O320">
        <f t="shared" ca="1" si="52"/>
        <v>1</v>
      </c>
      <c r="R320" s="1"/>
    </row>
    <row r="321" spans="7:18" x14ac:dyDescent="0.25">
      <c r="G321" t="str">
        <f t="shared" si="59"/>
        <v>D17-R17</v>
      </c>
      <c r="H321" t="str">
        <f>$A$17</f>
        <v>D13-R13</v>
      </c>
      <c r="I321" s="13" t="str">
        <f t="shared" ca="1" si="60"/>
        <v>O</v>
      </c>
      <c r="J321" s="13" t="str">
        <f t="shared" ca="1" si="61"/>
        <v>Rare</v>
      </c>
      <c r="K321" s="17" t="str">
        <f ca="1">$D$17</f>
        <v>AB</v>
      </c>
      <c r="L321" s="15" t="str">
        <f ca="1">$E$17</f>
        <v>Frequent</v>
      </c>
      <c r="M321" s="13">
        <f t="shared" ca="1" si="51"/>
        <v>1</v>
      </c>
      <c r="N321" s="3">
        <f t="shared" ca="1" si="51"/>
        <v>1</v>
      </c>
      <c r="O321">
        <f t="shared" ca="1" si="52"/>
        <v>1</v>
      </c>
      <c r="R321" s="1"/>
    </row>
    <row r="322" spans="7:18" x14ac:dyDescent="0.25">
      <c r="G322" t="str">
        <f t="shared" si="59"/>
        <v>D17-R17</v>
      </c>
      <c r="H322" t="str">
        <f>$A$18</f>
        <v>D14-R14</v>
      </c>
      <c r="I322" s="13" t="str">
        <f t="shared" ca="1" si="60"/>
        <v>O</v>
      </c>
      <c r="J322" s="13" t="str">
        <f t="shared" ca="1" si="61"/>
        <v>Rare</v>
      </c>
      <c r="K322" s="17" t="str">
        <f ca="1">$D$18</f>
        <v>B</v>
      </c>
      <c r="L322" s="15" t="str">
        <f ca="1">$E$18</f>
        <v>Frequent</v>
      </c>
      <c r="M322" s="13">
        <f t="shared" ca="1" si="51"/>
        <v>1</v>
      </c>
      <c r="N322" s="3">
        <f t="shared" ca="1" si="51"/>
        <v>1</v>
      </c>
      <c r="O322">
        <f t="shared" ca="1" si="52"/>
        <v>1</v>
      </c>
      <c r="R322" s="1"/>
    </row>
    <row r="323" spans="7:18" x14ac:dyDescent="0.25">
      <c r="G323" t="str">
        <f t="shared" si="59"/>
        <v>D17-R17</v>
      </c>
      <c r="H323" t="str">
        <f>$A$19</f>
        <v>D15-R15</v>
      </c>
      <c r="I323" s="13" t="str">
        <f t="shared" ca="1" si="60"/>
        <v>O</v>
      </c>
      <c r="J323" s="13" t="str">
        <f t="shared" ca="1" si="61"/>
        <v>Rare</v>
      </c>
      <c r="K323" s="17" t="str">
        <f ca="1">$D$19</f>
        <v>B</v>
      </c>
      <c r="L323" s="15" t="str">
        <f ca="1">$E$19</f>
        <v>Frequent</v>
      </c>
      <c r="M323" s="13">
        <f t="shared" ca="1" si="51"/>
        <v>1</v>
      </c>
      <c r="N323" s="3">
        <f t="shared" ca="1" si="51"/>
        <v>1</v>
      </c>
      <c r="O323">
        <f t="shared" ca="1" si="52"/>
        <v>1</v>
      </c>
      <c r="R323" s="1"/>
    </row>
    <row r="324" spans="7:18" x14ac:dyDescent="0.25">
      <c r="G324" t="str">
        <f t="shared" si="59"/>
        <v>D17-R17</v>
      </c>
      <c r="H324" t="str">
        <f>$A$20</f>
        <v>D16-R16</v>
      </c>
      <c r="I324" s="13" t="str">
        <f t="shared" ca="1" si="60"/>
        <v>O</v>
      </c>
      <c r="J324" s="13" t="str">
        <f t="shared" ca="1" si="61"/>
        <v>Rare</v>
      </c>
      <c r="K324" s="17" t="str">
        <f ca="1">$D$20</f>
        <v>B</v>
      </c>
      <c r="L324" s="15" t="str">
        <f ca="1">$E$20</f>
        <v>Frequent</v>
      </c>
      <c r="M324" s="13">
        <f t="shared" ca="1" si="51"/>
        <v>1</v>
      </c>
      <c r="N324" s="3">
        <f t="shared" ca="1" si="51"/>
        <v>1</v>
      </c>
      <c r="O324">
        <f t="shared" ca="1" si="52"/>
        <v>1</v>
      </c>
      <c r="R324" s="1"/>
    </row>
    <row r="325" spans="7:18" x14ac:dyDescent="0.25">
      <c r="G325" t="str">
        <f t="shared" si="59"/>
        <v>D17-R17</v>
      </c>
      <c r="H325" t="str">
        <f>$A$22</f>
        <v>D18-R18</v>
      </c>
      <c r="I325" s="13" t="str">
        <f t="shared" ca="1" si="60"/>
        <v>O</v>
      </c>
      <c r="J325" s="13" t="str">
        <f t="shared" ca="1" si="61"/>
        <v>Rare</v>
      </c>
      <c r="K325" s="12" t="str">
        <f ca="1">$D$22</f>
        <v>A</v>
      </c>
      <c r="L325" s="11" t="str">
        <f ca="1">$E$22</f>
        <v>Rare</v>
      </c>
      <c r="M325" s="13">
        <f t="shared" ca="1" si="51"/>
        <v>1</v>
      </c>
      <c r="N325" s="3">
        <f t="shared" ca="1" si="51"/>
        <v>1</v>
      </c>
      <c r="O325">
        <f t="shared" ca="1" si="52"/>
        <v>1</v>
      </c>
      <c r="R325" s="1"/>
    </row>
    <row r="326" spans="7:18" x14ac:dyDescent="0.25">
      <c r="G326" t="str">
        <f t="shared" si="59"/>
        <v>D17-R17</v>
      </c>
      <c r="H326" t="str">
        <f>$A$23</f>
        <v>D19-R19</v>
      </c>
      <c r="I326" s="13" t="str">
        <f t="shared" ca="1" si="60"/>
        <v>O</v>
      </c>
      <c r="J326" s="13" t="str">
        <f t="shared" ca="1" si="61"/>
        <v>Rare</v>
      </c>
      <c r="K326" s="12" t="str">
        <f ca="1">$D$23</f>
        <v>B</v>
      </c>
      <c r="L326" s="11" t="str">
        <f ca="1">$E$23</f>
        <v>Rare</v>
      </c>
      <c r="M326" s="13">
        <f t="shared" ref="M326:N384" ca="1" si="62">checkFeasibility(I326,K326)</f>
        <v>1</v>
      </c>
      <c r="N326" s="3">
        <f t="shared" ca="1" si="62"/>
        <v>1</v>
      </c>
      <c r="O326">
        <f t="shared" ref="O326:O384" ca="1" si="63">IF(SUM(M326,N326)=2,1,0)</f>
        <v>1</v>
      </c>
      <c r="R326" s="1"/>
    </row>
    <row r="327" spans="7:18" x14ac:dyDescent="0.25">
      <c r="G327" t="str">
        <f t="shared" si="59"/>
        <v>D17-R17</v>
      </c>
      <c r="H327" t="str">
        <f>$A$24</f>
        <v>D20-R20</v>
      </c>
      <c r="I327" s="13" t="str">
        <f t="shared" ca="1" si="60"/>
        <v>O</v>
      </c>
      <c r="J327" s="13" t="str">
        <f t="shared" ca="1" si="61"/>
        <v>Rare</v>
      </c>
      <c r="K327" s="12" t="str">
        <f ca="1">$D$24</f>
        <v>AB</v>
      </c>
      <c r="L327" s="11" t="str">
        <f ca="1">$E$24</f>
        <v>Rare</v>
      </c>
      <c r="M327" s="13">
        <f t="shared" ca="1" si="62"/>
        <v>1</v>
      </c>
      <c r="N327" s="3">
        <f t="shared" ca="1" si="62"/>
        <v>1</v>
      </c>
      <c r="O327">
        <f t="shared" ca="1" si="63"/>
        <v>1</v>
      </c>
      <c r="R327" s="1"/>
    </row>
    <row r="328" spans="7:18" x14ac:dyDescent="0.25">
      <c r="G328" t="str">
        <f>$A$22</f>
        <v>D18-R18</v>
      </c>
      <c r="H328" t="str">
        <f>$A$5</f>
        <v>D1-R1</v>
      </c>
      <c r="I328" s="13" t="str">
        <f ca="1">$B$22</f>
        <v>AB</v>
      </c>
      <c r="J328" s="13" t="str">
        <f ca="1">$C$22</f>
        <v>Rare</v>
      </c>
      <c r="K328" s="16" t="str">
        <f ca="1">$D$5</f>
        <v>O</v>
      </c>
      <c r="L328" s="13" t="str">
        <f ca="1">$E$5</f>
        <v>Rare</v>
      </c>
      <c r="M328" s="13">
        <f t="shared" ca="1" si="62"/>
        <v>0</v>
      </c>
      <c r="N328" s="3">
        <f t="shared" ca="1" si="62"/>
        <v>1</v>
      </c>
      <c r="O328">
        <f t="shared" ca="1" si="63"/>
        <v>0</v>
      </c>
      <c r="R328" s="1"/>
    </row>
    <row r="329" spans="7:18" x14ac:dyDescent="0.25">
      <c r="G329" t="str">
        <f t="shared" ref="G329:G346" si="64">$A$22</f>
        <v>D18-R18</v>
      </c>
      <c r="H329" t="str">
        <f>$A$6</f>
        <v>D2-R2</v>
      </c>
      <c r="I329" s="13" t="str">
        <f t="shared" ref="I329:I346" ca="1" si="65">$B$22</f>
        <v>AB</v>
      </c>
      <c r="J329" s="13" t="str">
        <f t="shared" ref="J329:J346" ca="1" si="66">$C$22</f>
        <v>Rare</v>
      </c>
      <c r="K329" s="16" t="str">
        <f ca="1">$D$6</f>
        <v>AB</v>
      </c>
      <c r="L329" s="13" t="str">
        <f ca="1">$E$6</f>
        <v>Frequent</v>
      </c>
      <c r="M329" s="13">
        <f t="shared" ca="1" si="62"/>
        <v>1</v>
      </c>
      <c r="N329" s="3">
        <f t="shared" ca="1" si="62"/>
        <v>1</v>
      </c>
      <c r="O329">
        <f t="shared" ca="1" si="63"/>
        <v>1</v>
      </c>
      <c r="R329" s="1"/>
    </row>
    <row r="330" spans="7:18" x14ac:dyDescent="0.25">
      <c r="G330" t="str">
        <f t="shared" si="64"/>
        <v>D18-R18</v>
      </c>
      <c r="H330" t="str">
        <f>$A$7</f>
        <v>D3-R3</v>
      </c>
      <c r="I330" s="13" t="str">
        <f t="shared" ca="1" si="65"/>
        <v>AB</v>
      </c>
      <c r="J330" s="13" t="str">
        <f t="shared" ca="1" si="66"/>
        <v>Rare</v>
      </c>
      <c r="K330" s="12" t="str">
        <f ca="1">$D$7</f>
        <v>B</v>
      </c>
      <c r="L330" s="11" t="str">
        <f ca="1">$E$7</f>
        <v>Frequent</v>
      </c>
      <c r="M330" s="13">
        <f t="shared" ca="1" si="62"/>
        <v>0</v>
      </c>
      <c r="N330" s="3">
        <f t="shared" ca="1" si="62"/>
        <v>1</v>
      </c>
      <c r="O330">
        <f t="shared" ca="1" si="63"/>
        <v>0</v>
      </c>
      <c r="R330" s="1"/>
    </row>
    <row r="331" spans="7:18" x14ac:dyDescent="0.25">
      <c r="G331" t="str">
        <f t="shared" si="64"/>
        <v>D18-R18</v>
      </c>
      <c r="H331" t="str">
        <f>$A$8</f>
        <v>D4-R4</v>
      </c>
      <c r="I331" s="13" t="str">
        <f t="shared" ca="1" si="65"/>
        <v>AB</v>
      </c>
      <c r="J331" s="13" t="str">
        <f t="shared" ca="1" si="66"/>
        <v>Rare</v>
      </c>
      <c r="K331" s="17" t="str">
        <f ca="1">$D$8</f>
        <v>A</v>
      </c>
      <c r="L331" s="15" t="str">
        <f ca="1">$E$8</f>
        <v>Frequent</v>
      </c>
      <c r="M331" s="13">
        <f t="shared" ca="1" si="62"/>
        <v>0</v>
      </c>
      <c r="N331" s="3">
        <f t="shared" ca="1" si="62"/>
        <v>1</v>
      </c>
      <c r="O331">
        <f t="shared" ca="1" si="63"/>
        <v>0</v>
      </c>
      <c r="R331" s="1"/>
    </row>
    <row r="332" spans="7:18" x14ac:dyDescent="0.25">
      <c r="G332" t="str">
        <f t="shared" si="64"/>
        <v>D18-R18</v>
      </c>
      <c r="H332" t="str">
        <f>$A$9</f>
        <v>D5-R5</v>
      </c>
      <c r="I332" s="13" t="str">
        <f t="shared" ca="1" si="65"/>
        <v>AB</v>
      </c>
      <c r="J332" s="13" t="str">
        <f t="shared" ca="1" si="66"/>
        <v>Rare</v>
      </c>
      <c r="K332" s="17" t="str">
        <f ca="1">$D$9</f>
        <v>AB</v>
      </c>
      <c r="L332" s="15" t="str">
        <f ca="1">$E$9</f>
        <v>Rare</v>
      </c>
      <c r="M332" s="13">
        <f t="shared" ca="1" si="62"/>
        <v>1</v>
      </c>
      <c r="N332" s="3">
        <f t="shared" ca="1" si="62"/>
        <v>1</v>
      </c>
      <c r="O332">
        <f t="shared" ca="1" si="63"/>
        <v>1</v>
      </c>
      <c r="R332" s="1"/>
    </row>
    <row r="333" spans="7:18" x14ac:dyDescent="0.25">
      <c r="G333" t="str">
        <f t="shared" si="64"/>
        <v>D18-R18</v>
      </c>
      <c r="H333" t="str">
        <f>$A$10</f>
        <v>D6-R6</v>
      </c>
      <c r="I333" s="13" t="str">
        <f t="shared" ca="1" si="65"/>
        <v>AB</v>
      </c>
      <c r="J333" s="13" t="str">
        <f t="shared" ca="1" si="66"/>
        <v>Rare</v>
      </c>
      <c r="K333" s="17" t="str">
        <f ca="1">$D$10</f>
        <v>AB</v>
      </c>
      <c r="L333" s="15" t="str">
        <f ca="1">$E$10</f>
        <v>Frequent</v>
      </c>
      <c r="M333" s="13">
        <f t="shared" ca="1" si="62"/>
        <v>1</v>
      </c>
      <c r="N333" s="3">
        <f t="shared" ca="1" si="62"/>
        <v>1</v>
      </c>
      <c r="O333">
        <f t="shared" ca="1" si="63"/>
        <v>1</v>
      </c>
      <c r="R333" s="1"/>
    </row>
    <row r="334" spans="7:18" x14ac:dyDescent="0.25">
      <c r="G334" t="str">
        <f t="shared" si="64"/>
        <v>D18-R18</v>
      </c>
      <c r="H334" t="str">
        <f>$A$11</f>
        <v>D7-R7</v>
      </c>
      <c r="I334" s="13" t="str">
        <f t="shared" ca="1" si="65"/>
        <v>AB</v>
      </c>
      <c r="J334" s="13" t="str">
        <f t="shared" ca="1" si="66"/>
        <v>Rare</v>
      </c>
      <c r="K334" s="17" t="str">
        <f ca="1">$D$11</f>
        <v>O</v>
      </c>
      <c r="L334" s="15" t="str">
        <f ca="1">$E$11</f>
        <v>Frequent</v>
      </c>
      <c r="M334" s="13">
        <f t="shared" ca="1" si="62"/>
        <v>0</v>
      </c>
      <c r="N334" s="3">
        <f t="shared" ca="1" si="62"/>
        <v>1</v>
      </c>
      <c r="O334">
        <f t="shared" ca="1" si="63"/>
        <v>0</v>
      </c>
      <c r="R334" s="1"/>
    </row>
    <row r="335" spans="7:18" x14ac:dyDescent="0.25">
      <c r="G335" t="str">
        <f t="shared" si="64"/>
        <v>D18-R18</v>
      </c>
      <c r="H335" t="str">
        <f>$A$12</f>
        <v>D8-R8</v>
      </c>
      <c r="I335" s="13" t="str">
        <f t="shared" ca="1" si="65"/>
        <v>AB</v>
      </c>
      <c r="J335" s="13" t="str">
        <f t="shared" ca="1" si="66"/>
        <v>Rare</v>
      </c>
      <c r="K335" s="17" t="str">
        <f ca="1">$D$12</f>
        <v>B</v>
      </c>
      <c r="L335" s="15" t="str">
        <f ca="1">$E$12</f>
        <v>Rare</v>
      </c>
      <c r="M335" s="13">
        <f t="shared" ca="1" si="62"/>
        <v>0</v>
      </c>
      <c r="N335" s="3">
        <f t="shared" ca="1" si="62"/>
        <v>1</v>
      </c>
      <c r="O335">
        <f t="shared" ca="1" si="63"/>
        <v>0</v>
      </c>
      <c r="R335" s="1"/>
    </row>
    <row r="336" spans="7:18" x14ac:dyDescent="0.25">
      <c r="G336" t="str">
        <f t="shared" si="64"/>
        <v>D18-R18</v>
      </c>
      <c r="H336" t="str">
        <f>$A$13</f>
        <v>D9-R9</v>
      </c>
      <c r="I336" s="13" t="str">
        <f t="shared" ca="1" si="65"/>
        <v>AB</v>
      </c>
      <c r="J336" s="13" t="str">
        <f t="shared" ca="1" si="66"/>
        <v>Rare</v>
      </c>
      <c r="K336" s="17" t="str">
        <f ca="1">$D$13</f>
        <v>A</v>
      </c>
      <c r="L336" s="15" t="str">
        <f ca="1">$E$13</f>
        <v>Frequent</v>
      </c>
      <c r="M336" s="13">
        <f t="shared" ca="1" si="62"/>
        <v>0</v>
      </c>
      <c r="N336" s="3">
        <f t="shared" ca="1" si="62"/>
        <v>1</v>
      </c>
      <c r="O336">
        <f t="shared" ca="1" si="63"/>
        <v>0</v>
      </c>
      <c r="R336" s="1"/>
    </row>
    <row r="337" spans="7:18" x14ac:dyDescent="0.25">
      <c r="G337" t="str">
        <f t="shared" si="64"/>
        <v>D18-R18</v>
      </c>
      <c r="H337" t="str">
        <f>$A$14</f>
        <v>D10-R10</v>
      </c>
      <c r="I337" s="13" t="str">
        <f t="shared" ca="1" si="65"/>
        <v>AB</v>
      </c>
      <c r="J337" s="13" t="str">
        <f t="shared" ca="1" si="66"/>
        <v>Rare</v>
      </c>
      <c r="K337" s="12" t="str">
        <f ca="1">$D$14</f>
        <v>A</v>
      </c>
      <c r="L337" s="11" t="str">
        <f ca="1">$E$14</f>
        <v>Frequent</v>
      </c>
      <c r="M337" s="13">
        <f t="shared" ca="1" si="62"/>
        <v>0</v>
      </c>
      <c r="N337" s="3">
        <f t="shared" ca="1" si="62"/>
        <v>1</v>
      </c>
      <c r="O337">
        <f t="shared" ca="1" si="63"/>
        <v>0</v>
      </c>
      <c r="R337" s="1"/>
    </row>
    <row r="338" spans="7:18" x14ac:dyDescent="0.25">
      <c r="G338" t="str">
        <f t="shared" si="64"/>
        <v>D18-R18</v>
      </c>
      <c r="H338" t="str">
        <f>$A$15</f>
        <v>D11-R11</v>
      </c>
      <c r="I338" s="13" t="str">
        <f t="shared" ca="1" si="65"/>
        <v>AB</v>
      </c>
      <c r="J338" s="13" t="str">
        <f t="shared" ca="1" si="66"/>
        <v>Rare</v>
      </c>
      <c r="K338" s="17" t="str">
        <f ca="1">$D$15</f>
        <v>AB</v>
      </c>
      <c r="L338" s="15" t="str">
        <f ca="1">$E$15</f>
        <v>Frequent</v>
      </c>
      <c r="M338" s="13">
        <f t="shared" ca="1" si="62"/>
        <v>1</v>
      </c>
      <c r="N338" s="3">
        <f t="shared" ca="1" si="62"/>
        <v>1</v>
      </c>
      <c r="O338">
        <f t="shared" ca="1" si="63"/>
        <v>1</v>
      </c>
      <c r="R338" s="1"/>
    </row>
    <row r="339" spans="7:18" x14ac:dyDescent="0.25">
      <c r="G339" t="str">
        <f t="shared" si="64"/>
        <v>D18-R18</v>
      </c>
      <c r="H339" t="str">
        <f>$A$16</f>
        <v>D12-R12</v>
      </c>
      <c r="I339" s="13" t="str">
        <f t="shared" ca="1" si="65"/>
        <v>AB</v>
      </c>
      <c r="J339" s="13" t="str">
        <f t="shared" ca="1" si="66"/>
        <v>Rare</v>
      </c>
      <c r="K339" s="17" t="str">
        <f ca="1">$D$16</f>
        <v>B</v>
      </c>
      <c r="L339" s="15" t="str">
        <f ca="1">$E$16</f>
        <v>Rare</v>
      </c>
      <c r="M339" s="13">
        <f t="shared" ca="1" si="62"/>
        <v>0</v>
      </c>
      <c r="N339" s="3">
        <f t="shared" ca="1" si="62"/>
        <v>1</v>
      </c>
      <c r="O339">
        <f t="shared" ca="1" si="63"/>
        <v>0</v>
      </c>
      <c r="R339" s="1"/>
    </row>
    <row r="340" spans="7:18" x14ac:dyDescent="0.25">
      <c r="G340" t="str">
        <f t="shared" si="64"/>
        <v>D18-R18</v>
      </c>
      <c r="H340" t="str">
        <f>$A$17</f>
        <v>D13-R13</v>
      </c>
      <c r="I340" s="13" t="str">
        <f t="shared" ca="1" si="65"/>
        <v>AB</v>
      </c>
      <c r="J340" s="13" t="str">
        <f t="shared" ca="1" si="66"/>
        <v>Rare</v>
      </c>
      <c r="K340" s="17" t="str">
        <f ca="1">$D$17</f>
        <v>AB</v>
      </c>
      <c r="L340" s="15" t="str">
        <f ca="1">$E$17</f>
        <v>Frequent</v>
      </c>
      <c r="M340" s="13">
        <f t="shared" ca="1" si="62"/>
        <v>1</v>
      </c>
      <c r="N340" s="3">
        <f t="shared" ca="1" si="62"/>
        <v>1</v>
      </c>
      <c r="O340">
        <f t="shared" ca="1" si="63"/>
        <v>1</v>
      </c>
      <c r="R340" s="1"/>
    </row>
    <row r="341" spans="7:18" x14ac:dyDescent="0.25">
      <c r="G341" t="str">
        <f t="shared" si="64"/>
        <v>D18-R18</v>
      </c>
      <c r="H341" t="str">
        <f>$A$18</f>
        <v>D14-R14</v>
      </c>
      <c r="I341" s="13" t="str">
        <f t="shared" ca="1" si="65"/>
        <v>AB</v>
      </c>
      <c r="J341" s="13" t="str">
        <f t="shared" ca="1" si="66"/>
        <v>Rare</v>
      </c>
      <c r="K341" s="17" t="str">
        <f ca="1">$D$18</f>
        <v>B</v>
      </c>
      <c r="L341" s="15" t="str">
        <f ca="1">$E$18</f>
        <v>Frequent</v>
      </c>
      <c r="M341" s="13">
        <f t="shared" ca="1" si="62"/>
        <v>0</v>
      </c>
      <c r="N341" s="3">
        <f t="shared" ca="1" si="62"/>
        <v>1</v>
      </c>
      <c r="O341">
        <f t="shared" ca="1" si="63"/>
        <v>0</v>
      </c>
      <c r="R341" s="1"/>
    </row>
    <row r="342" spans="7:18" x14ac:dyDescent="0.25">
      <c r="G342" t="str">
        <f t="shared" si="64"/>
        <v>D18-R18</v>
      </c>
      <c r="H342" t="str">
        <f>$A$19</f>
        <v>D15-R15</v>
      </c>
      <c r="I342" s="13" t="str">
        <f t="shared" ca="1" si="65"/>
        <v>AB</v>
      </c>
      <c r="J342" s="13" t="str">
        <f t="shared" ca="1" si="66"/>
        <v>Rare</v>
      </c>
      <c r="K342" s="17" t="str">
        <f ca="1">$D$19</f>
        <v>B</v>
      </c>
      <c r="L342" s="15" t="str">
        <f ca="1">$E$19</f>
        <v>Frequent</v>
      </c>
      <c r="M342" s="13">
        <f t="shared" ca="1" si="62"/>
        <v>0</v>
      </c>
      <c r="N342" s="3">
        <f t="shared" ca="1" si="62"/>
        <v>1</v>
      </c>
      <c r="O342">
        <f t="shared" ca="1" si="63"/>
        <v>0</v>
      </c>
      <c r="R342" s="1"/>
    </row>
    <row r="343" spans="7:18" x14ac:dyDescent="0.25">
      <c r="G343" t="str">
        <f t="shared" si="64"/>
        <v>D18-R18</v>
      </c>
      <c r="H343" t="str">
        <f>$A$20</f>
        <v>D16-R16</v>
      </c>
      <c r="I343" s="13" t="str">
        <f t="shared" ca="1" si="65"/>
        <v>AB</v>
      </c>
      <c r="J343" s="13" t="str">
        <f t="shared" ca="1" si="66"/>
        <v>Rare</v>
      </c>
      <c r="K343" s="17" t="str">
        <f ca="1">$D$20</f>
        <v>B</v>
      </c>
      <c r="L343" s="15" t="str">
        <f ca="1">$E$20</f>
        <v>Frequent</v>
      </c>
      <c r="M343" s="13">
        <f t="shared" ca="1" si="62"/>
        <v>0</v>
      </c>
      <c r="N343" s="3">
        <f t="shared" ca="1" si="62"/>
        <v>1</v>
      </c>
      <c r="O343">
        <f t="shared" ca="1" si="63"/>
        <v>0</v>
      </c>
      <c r="R343" s="1"/>
    </row>
    <row r="344" spans="7:18" x14ac:dyDescent="0.25">
      <c r="G344" t="str">
        <f t="shared" si="64"/>
        <v>D18-R18</v>
      </c>
      <c r="H344" t="str">
        <f>$A$21</f>
        <v>D17-R17</v>
      </c>
      <c r="I344" s="13" t="str">
        <f t="shared" ca="1" si="65"/>
        <v>AB</v>
      </c>
      <c r="J344" s="13" t="str">
        <f t="shared" ca="1" si="66"/>
        <v>Rare</v>
      </c>
      <c r="K344" s="12" t="str">
        <f ca="1">$D$21</f>
        <v>B</v>
      </c>
      <c r="L344" s="11" t="str">
        <f ca="1">$E$21</f>
        <v>Rare</v>
      </c>
      <c r="M344" s="13">
        <f t="shared" ca="1" si="62"/>
        <v>0</v>
      </c>
      <c r="N344" s="3">
        <f t="shared" ca="1" si="62"/>
        <v>1</v>
      </c>
      <c r="O344">
        <f t="shared" ca="1" si="63"/>
        <v>0</v>
      </c>
      <c r="R344" s="1"/>
    </row>
    <row r="345" spans="7:18" x14ac:dyDescent="0.25">
      <c r="G345" t="str">
        <f t="shared" si="64"/>
        <v>D18-R18</v>
      </c>
      <c r="H345" t="str">
        <f>$A$23</f>
        <v>D19-R19</v>
      </c>
      <c r="I345" s="13" t="str">
        <f t="shared" ca="1" si="65"/>
        <v>AB</v>
      </c>
      <c r="J345" s="13" t="str">
        <f t="shared" ca="1" si="66"/>
        <v>Rare</v>
      </c>
      <c r="K345" s="12" t="str">
        <f ca="1">$D$23</f>
        <v>B</v>
      </c>
      <c r="L345" s="11" t="str">
        <f ca="1">$E$23</f>
        <v>Rare</v>
      </c>
      <c r="M345" s="13">
        <f t="shared" ca="1" si="62"/>
        <v>0</v>
      </c>
      <c r="N345" s="3">
        <f t="shared" ca="1" si="62"/>
        <v>1</v>
      </c>
      <c r="O345">
        <f t="shared" ca="1" si="63"/>
        <v>0</v>
      </c>
      <c r="R345" s="1"/>
    </row>
    <row r="346" spans="7:18" x14ac:dyDescent="0.25">
      <c r="G346" t="str">
        <f t="shared" si="64"/>
        <v>D18-R18</v>
      </c>
      <c r="H346" t="str">
        <f>$A$24</f>
        <v>D20-R20</v>
      </c>
      <c r="I346" s="13" t="str">
        <f t="shared" ca="1" si="65"/>
        <v>AB</v>
      </c>
      <c r="J346" s="13" t="str">
        <f t="shared" ca="1" si="66"/>
        <v>Rare</v>
      </c>
      <c r="K346" s="12" t="str">
        <f ca="1">$D$24</f>
        <v>AB</v>
      </c>
      <c r="L346" s="11" t="str">
        <f ca="1">$E$24</f>
        <v>Rare</v>
      </c>
      <c r="M346" s="13">
        <f t="shared" ca="1" si="62"/>
        <v>1</v>
      </c>
      <c r="N346" s="3">
        <f t="shared" ca="1" si="62"/>
        <v>1</v>
      </c>
      <c r="O346">
        <f t="shared" ca="1" si="63"/>
        <v>1</v>
      </c>
      <c r="R346" s="1"/>
    </row>
    <row r="347" spans="7:18" x14ac:dyDescent="0.25">
      <c r="G347" t="str">
        <f>$A$23</f>
        <v>D19-R19</v>
      </c>
      <c r="H347" t="str">
        <f>$A$5</f>
        <v>D1-R1</v>
      </c>
      <c r="I347" s="13" t="str">
        <f ca="1">$B$23</f>
        <v>B</v>
      </c>
      <c r="J347" s="13" t="str">
        <f ca="1">$C$23</f>
        <v>Rare</v>
      </c>
      <c r="K347" s="16" t="str">
        <f ca="1">$D$5</f>
        <v>O</v>
      </c>
      <c r="L347" s="13" t="str">
        <f ca="1">$E$5</f>
        <v>Rare</v>
      </c>
      <c r="M347" s="13">
        <f t="shared" ca="1" si="62"/>
        <v>0</v>
      </c>
      <c r="N347" s="3">
        <f t="shared" ca="1" si="62"/>
        <v>1</v>
      </c>
      <c r="O347">
        <f t="shared" ca="1" si="63"/>
        <v>0</v>
      </c>
      <c r="R347" s="1"/>
    </row>
    <row r="348" spans="7:18" x14ac:dyDescent="0.25">
      <c r="G348" t="str">
        <f t="shared" ref="G348:G365" si="67">$A$23</f>
        <v>D19-R19</v>
      </c>
      <c r="H348" t="str">
        <f>$A$6</f>
        <v>D2-R2</v>
      </c>
      <c r="I348" s="13" t="str">
        <f t="shared" ref="I348:I365" ca="1" si="68">$B$23</f>
        <v>B</v>
      </c>
      <c r="J348" s="13" t="str">
        <f t="shared" ref="J348:J365" ca="1" si="69">$C$23</f>
        <v>Rare</v>
      </c>
      <c r="K348" s="16" t="str">
        <f ca="1">$D$6</f>
        <v>AB</v>
      </c>
      <c r="L348" s="13" t="str">
        <f ca="1">$E$6</f>
        <v>Frequent</v>
      </c>
      <c r="M348" s="13">
        <f t="shared" ca="1" si="62"/>
        <v>1</v>
      </c>
      <c r="N348" s="3">
        <f t="shared" ca="1" si="62"/>
        <v>1</v>
      </c>
      <c r="O348">
        <f t="shared" ca="1" si="63"/>
        <v>1</v>
      </c>
      <c r="R348" s="1"/>
    </row>
    <row r="349" spans="7:18" x14ac:dyDescent="0.25">
      <c r="G349" t="str">
        <f t="shared" si="67"/>
        <v>D19-R19</v>
      </c>
      <c r="H349" t="str">
        <f>$A$7</f>
        <v>D3-R3</v>
      </c>
      <c r="I349" s="13" t="str">
        <f t="shared" ca="1" si="68"/>
        <v>B</v>
      </c>
      <c r="J349" s="13" t="str">
        <f t="shared" ca="1" si="69"/>
        <v>Rare</v>
      </c>
      <c r="K349" s="12" t="str">
        <f ca="1">$D$7</f>
        <v>B</v>
      </c>
      <c r="L349" s="11" t="str">
        <f ca="1">$E$7</f>
        <v>Frequent</v>
      </c>
      <c r="M349" s="13">
        <f t="shared" ca="1" si="62"/>
        <v>1</v>
      </c>
      <c r="N349" s="3">
        <f t="shared" ca="1" si="62"/>
        <v>1</v>
      </c>
      <c r="O349">
        <f t="shared" ca="1" si="63"/>
        <v>1</v>
      </c>
      <c r="R349" s="1"/>
    </row>
    <row r="350" spans="7:18" x14ac:dyDescent="0.25">
      <c r="G350" t="str">
        <f t="shared" si="67"/>
        <v>D19-R19</v>
      </c>
      <c r="H350" t="str">
        <f>$A$8</f>
        <v>D4-R4</v>
      </c>
      <c r="I350" s="13" t="str">
        <f t="shared" ca="1" si="68"/>
        <v>B</v>
      </c>
      <c r="J350" s="13" t="str">
        <f t="shared" ca="1" si="69"/>
        <v>Rare</v>
      </c>
      <c r="K350" s="17" t="str">
        <f ca="1">$D$8</f>
        <v>A</v>
      </c>
      <c r="L350" s="15" t="str">
        <f ca="1">$E$8</f>
        <v>Frequent</v>
      </c>
      <c r="M350" s="13">
        <f t="shared" ca="1" si="62"/>
        <v>0</v>
      </c>
      <c r="N350" s="3">
        <f t="shared" ca="1" si="62"/>
        <v>1</v>
      </c>
      <c r="O350">
        <f t="shared" ca="1" si="63"/>
        <v>0</v>
      </c>
      <c r="R350" s="1"/>
    </row>
    <row r="351" spans="7:18" x14ac:dyDescent="0.25">
      <c r="G351" t="str">
        <f t="shared" si="67"/>
        <v>D19-R19</v>
      </c>
      <c r="H351" t="str">
        <f>$A$9</f>
        <v>D5-R5</v>
      </c>
      <c r="I351" s="13" t="str">
        <f t="shared" ca="1" si="68"/>
        <v>B</v>
      </c>
      <c r="J351" s="13" t="str">
        <f t="shared" ca="1" si="69"/>
        <v>Rare</v>
      </c>
      <c r="K351" s="17" t="str">
        <f ca="1">$D$9</f>
        <v>AB</v>
      </c>
      <c r="L351" s="15" t="str">
        <f ca="1">$E$9</f>
        <v>Rare</v>
      </c>
      <c r="M351" s="13">
        <f t="shared" ca="1" si="62"/>
        <v>1</v>
      </c>
      <c r="N351" s="3">
        <f t="shared" ca="1" si="62"/>
        <v>1</v>
      </c>
      <c r="O351">
        <f t="shared" ca="1" si="63"/>
        <v>1</v>
      </c>
      <c r="R351" s="1"/>
    </row>
    <row r="352" spans="7:18" x14ac:dyDescent="0.25">
      <c r="G352" t="str">
        <f t="shared" si="67"/>
        <v>D19-R19</v>
      </c>
      <c r="H352" t="str">
        <f>$A$10</f>
        <v>D6-R6</v>
      </c>
      <c r="I352" s="13" t="str">
        <f t="shared" ca="1" si="68"/>
        <v>B</v>
      </c>
      <c r="J352" s="13" t="str">
        <f t="shared" ca="1" si="69"/>
        <v>Rare</v>
      </c>
      <c r="K352" s="17" t="str">
        <f ca="1">$D$10</f>
        <v>AB</v>
      </c>
      <c r="L352" s="15" t="str">
        <f ca="1">$E$10</f>
        <v>Frequent</v>
      </c>
      <c r="M352" s="13">
        <f t="shared" ca="1" si="62"/>
        <v>1</v>
      </c>
      <c r="N352" s="3">
        <f t="shared" ca="1" si="62"/>
        <v>1</v>
      </c>
      <c r="O352">
        <f t="shared" ca="1" si="63"/>
        <v>1</v>
      </c>
      <c r="R352" s="1"/>
    </row>
    <row r="353" spans="7:18" x14ac:dyDescent="0.25">
      <c r="G353" t="str">
        <f t="shared" si="67"/>
        <v>D19-R19</v>
      </c>
      <c r="H353" t="str">
        <f>$A$11</f>
        <v>D7-R7</v>
      </c>
      <c r="I353" s="13" t="str">
        <f t="shared" ca="1" si="68"/>
        <v>B</v>
      </c>
      <c r="J353" s="13" t="str">
        <f t="shared" ca="1" si="69"/>
        <v>Rare</v>
      </c>
      <c r="K353" s="17" t="str">
        <f ca="1">$D$11</f>
        <v>O</v>
      </c>
      <c r="L353" s="15" t="str">
        <f ca="1">$E$11</f>
        <v>Frequent</v>
      </c>
      <c r="M353" s="13">
        <f t="shared" ca="1" si="62"/>
        <v>0</v>
      </c>
      <c r="N353" s="3">
        <f t="shared" ca="1" si="62"/>
        <v>1</v>
      </c>
      <c r="O353">
        <f t="shared" ca="1" si="63"/>
        <v>0</v>
      </c>
      <c r="R353" s="1"/>
    </row>
    <row r="354" spans="7:18" x14ac:dyDescent="0.25">
      <c r="G354" t="str">
        <f t="shared" si="67"/>
        <v>D19-R19</v>
      </c>
      <c r="H354" t="str">
        <f>$A$12</f>
        <v>D8-R8</v>
      </c>
      <c r="I354" s="13" t="str">
        <f t="shared" ca="1" si="68"/>
        <v>B</v>
      </c>
      <c r="J354" s="13" t="str">
        <f t="shared" ca="1" si="69"/>
        <v>Rare</v>
      </c>
      <c r="K354" s="17" t="str">
        <f ca="1">$D$12</f>
        <v>B</v>
      </c>
      <c r="L354" s="15" t="str">
        <f ca="1">$E$12</f>
        <v>Rare</v>
      </c>
      <c r="M354" s="13">
        <f t="shared" ca="1" si="62"/>
        <v>1</v>
      </c>
      <c r="N354" s="3">
        <f t="shared" ca="1" si="62"/>
        <v>1</v>
      </c>
      <c r="O354">
        <f t="shared" ca="1" si="63"/>
        <v>1</v>
      </c>
      <c r="R354" s="1"/>
    </row>
    <row r="355" spans="7:18" x14ac:dyDescent="0.25">
      <c r="G355" t="str">
        <f t="shared" si="67"/>
        <v>D19-R19</v>
      </c>
      <c r="H355" t="str">
        <f>$A$13</f>
        <v>D9-R9</v>
      </c>
      <c r="I355" s="13" t="str">
        <f t="shared" ca="1" si="68"/>
        <v>B</v>
      </c>
      <c r="J355" s="13" t="str">
        <f t="shared" ca="1" si="69"/>
        <v>Rare</v>
      </c>
      <c r="K355" s="17" t="str">
        <f ca="1">$D$13</f>
        <v>A</v>
      </c>
      <c r="L355" s="15" t="str">
        <f ca="1">$E$13</f>
        <v>Frequent</v>
      </c>
      <c r="M355" s="13">
        <f t="shared" ca="1" si="62"/>
        <v>0</v>
      </c>
      <c r="N355" s="3">
        <f t="shared" ca="1" si="62"/>
        <v>1</v>
      </c>
      <c r="O355">
        <f t="shared" ca="1" si="63"/>
        <v>0</v>
      </c>
      <c r="R355" s="1"/>
    </row>
    <row r="356" spans="7:18" x14ac:dyDescent="0.25">
      <c r="G356" t="str">
        <f t="shared" si="67"/>
        <v>D19-R19</v>
      </c>
      <c r="H356" t="str">
        <f>$A$14</f>
        <v>D10-R10</v>
      </c>
      <c r="I356" s="13" t="str">
        <f t="shared" ca="1" si="68"/>
        <v>B</v>
      </c>
      <c r="J356" s="13" t="str">
        <f t="shared" ca="1" si="69"/>
        <v>Rare</v>
      </c>
      <c r="K356" s="12" t="str">
        <f ca="1">$D$14</f>
        <v>A</v>
      </c>
      <c r="L356" s="11" t="str">
        <f ca="1">$E$14</f>
        <v>Frequent</v>
      </c>
      <c r="M356" s="13">
        <f t="shared" ca="1" si="62"/>
        <v>0</v>
      </c>
      <c r="N356" s="3">
        <f t="shared" ca="1" si="62"/>
        <v>1</v>
      </c>
      <c r="O356">
        <f t="shared" ca="1" si="63"/>
        <v>0</v>
      </c>
      <c r="R356" s="1"/>
    </row>
    <row r="357" spans="7:18" x14ac:dyDescent="0.25">
      <c r="G357" t="str">
        <f t="shared" si="67"/>
        <v>D19-R19</v>
      </c>
      <c r="H357" t="str">
        <f>$A$15</f>
        <v>D11-R11</v>
      </c>
      <c r="I357" s="13" t="str">
        <f t="shared" ca="1" si="68"/>
        <v>B</v>
      </c>
      <c r="J357" s="13" t="str">
        <f t="shared" ca="1" si="69"/>
        <v>Rare</v>
      </c>
      <c r="K357" s="17" t="str">
        <f ca="1">$D$15</f>
        <v>AB</v>
      </c>
      <c r="L357" s="15" t="str">
        <f ca="1">$E$15</f>
        <v>Frequent</v>
      </c>
      <c r="M357" s="13">
        <f t="shared" ca="1" si="62"/>
        <v>1</v>
      </c>
      <c r="N357" s="3">
        <f t="shared" ca="1" si="62"/>
        <v>1</v>
      </c>
      <c r="O357">
        <f t="shared" ca="1" si="63"/>
        <v>1</v>
      </c>
      <c r="R357" s="1"/>
    </row>
    <row r="358" spans="7:18" x14ac:dyDescent="0.25">
      <c r="G358" t="str">
        <f t="shared" si="67"/>
        <v>D19-R19</v>
      </c>
      <c r="H358" t="str">
        <f>$A$16</f>
        <v>D12-R12</v>
      </c>
      <c r="I358" s="13" t="str">
        <f t="shared" ca="1" si="68"/>
        <v>B</v>
      </c>
      <c r="J358" s="13" t="str">
        <f t="shared" ca="1" si="69"/>
        <v>Rare</v>
      </c>
      <c r="K358" s="17" t="str">
        <f ca="1">$D$16</f>
        <v>B</v>
      </c>
      <c r="L358" s="15" t="str">
        <f ca="1">$E$16</f>
        <v>Rare</v>
      </c>
      <c r="M358" s="13">
        <f t="shared" ca="1" si="62"/>
        <v>1</v>
      </c>
      <c r="N358" s="3">
        <f t="shared" ca="1" si="62"/>
        <v>1</v>
      </c>
      <c r="O358">
        <f t="shared" ca="1" si="63"/>
        <v>1</v>
      </c>
      <c r="R358" s="1"/>
    </row>
    <row r="359" spans="7:18" x14ac:dyDescent="0.25">
      <c r="G359" t="str">
        <f t="shared" si="67"/>
        <v>D19-R19</v>
      </c>
      <c r="H359" t="str">
        <f>$A$17</f>
        <v>D13-R13</v>
      </c>
      <c r="I359" s="13" t="str">
        <f t="shared" ca="1" si="68"/>
        <v>B</v>
      </c>
      <c r="J359" s="13" t="str">
        <f t="shared" ca="1" si="69"/>
        <v>Rare</v>
      </c>
      <c r="K359" s="17" t="str">
        <f ca="1">$D$17</f>
        <v>AB</v>
      </c>
      <c r="L359" s="15" t="str">
        <f ca="1">$E$17</f>
        <v>Frequent</v>
      </c>
      <c r="M359" s="13">
        <f t="shared" ca="1" si="62"/>
        <v>1</v>
      </c>
      <c r="N359" s="3">
        <f t="shared" ca="1" si="62"/>
        <v>1</v>
      </c>
      <c r="O359">
        <f t="shared" ca="1" si="63"/>
        <v>1</v>
      </c>
      <c r="R359" s="1"/>
    </row>
    <row r="360" spans="7:18" x14ac:dyDescent="0.25">
      <c r="G360" t="str">
        <f t="shared" si="67"/>
        <v>D19-R19</v>
      </c>
      <c r="H360" t="str">
        <f>$A$18</f>
        <v>D14-R14</v>
      </c>
      <c r="I360" s="13" t="str">
        <f t="shared" ca="1" si="68"/>
        <v>B</v>
      </c>
      <c r="J360" s="13" t="str">
        <f t="shared" ca="1" si="69"/>
        <v>Rare</v>
      </c>
      <c r="K360" s="17" t="str">
        <f ca="1">$D$18</f>
        <v>B</v>
      </c>
      <c r="L360" s="15" t="str">
        <f ca="1">$E$18</f>
        <v>Frequent</v>
      </c>
      <c r="M360" s="13">
        <f t="shared" ca="1" si="62"/>
        <v>1</v>
      </c>
      <c r="N360" s="3">
        <f t="shared" ca="1" si="62"/>
        <v>1</v>
      </c>
      <c r="O360">
        <f t="shared" ca="1" si="63"/>
        <v>1</v>
      </c>
      <c r="R360" s="1"/>
    </row>
    <row r="361" spans="7:18" x14ac:dyDescent="0.25">
      <c r="G361" t="str">
        <f t="shared" si="67"/>
        <v>D19-R19</v>
      </c>
      <c r="H361" t="str">
        <f>$A$19</f>
        <v>D15-R15</v>
      </c>
      <c r="I361" s="13" t="str">
        <f t="shared" ca="1" si="68"/>
        <v>B</v>
      </c>
      <c r="J361" s="13" t="str">
        <f t="shared" ca="1" si="69"/>
        <v>Rare</v>
      </c>
      <c r="K361" s="17" t="str">
        <f ca="1">$D$19</f>
        <v>B</v>
      </c>
      <c r="L361" s="15" t="str">
        <f ca="1">$E$19</f>
        <v>Frequent</v>
      </c>
      <c r="M361" s="13">
        <f t="shared" ca="1" si="62"/>
        <v>1</v>
      </c>
      <c r="N361" s="3">
        <f t="shared" ca="1" si="62"/>
        <v>1</v>
      </c>
      <c r="O361">
        <f t="shared" ca="1" si="63"/>
        <v>1</v>
      </c>
      <c r="R361" s="1"/>
    </row>
    <row r="362" spans="7:18" x14ac:dyDescent="0.25">
      <c r="G362" t="str">
        <f t="shared" si="67"/>
        <v>D19-R19</v>
      </c>
      <c r="H362" t="str">
        <f>$A$20</f>
        <v>D16-R16</v>
      </c>
      <c r="I362" s="13" t="str">
        <f t="shared" ca="1" si="68"/>
        <v>B</v>
      </c>
      <c r="J362" s="13" t="str">
        <f t="shared" ca="1" si="69"/>
        <v>Rare</v>
      </c>
      <c r="K362" s="17" t="str">
        <f ca="1">$D$20</f>
        <v>B</v>
      </c>
      <c r="L362" s="15" t="str">
        <f ca="1">$E$20</f>
        <v>Frequent</v>
      </c>
      <c r="M362" s="13">
        <f t="shared" ca="1" si="62"/>
        <v>1</v>
      </c>
      <c r="N362" s="3">
        <f t="shared" ca="1" si="62"/>
        <v>1</v>
      </c>
      <c r="O362">
        <f t="shared" ca="1" si="63"/>
        <v>1</v>
      </c>
      <c r="R362" s="1"/>
    </row>
    <row r="363" spans="7:18" x14ac:dyDescent="0.25">
      <c r="G363" t="str">
        <f t="shared" si="67"/>
        <v>D19-R19</v>
      </c>
      <c r="H363" t="str">
        <f>$A$21</f>
        <v>D17-R17</v>
      </c>
      <c r="I363" s="13" t="str">
        <f t="shared" ca="1" si="68"/>
        <v>B</v>
      </c>
      <c r="J363" s="13" t="str">
        <f t="shared" ca="1" si="69"/>
        <v>Rare</v>
      </c>
      <c r="K363" s="12" t="str">
        <f ca="1">$D$21</f>
        <v>B</v>
      </c>
      <c r="L363" s="11" t="str">
        <f ca="1">$E$21</f>
        <v>Rare</v>
      </c>
      <c r="M363" s="13">
        <f t="shared" ca="1" si="62"/>
        <v>1</v>
      </c>
      <c r="N363" s="3">
        <f t="shared" ca="1" si="62"/>
        <v>1</v>
      </c>
      <c r="O363">
        <f t="shared" ca="1" si="63"/>
        <v>1</v>
      </c>
      <c r="R363" s="1"/>
    </row>
    <row r="364" spans="7:18" x14ac:dyDescent="0.25">
      <c r="G364" t="str">
        <f t="shared" si="67"/>
        <v>D19-R19</v>
      </c>
      <c r="H364" t="str">
        <f>$A$22</f>
        <v>D18-R18</v>
      </c>
      <c r="I364" s="13" t="str">
        <f t="shared" ca="1" si="68"/>
        <v>B</v>
      </c>
      <c r="J364" s="13" t="str">
        <f t="shared" ca="1" si="69"/>
        <v>Rare</v>
      </c>
      <c r="K364" s="12" t="str">
        <f ca="1">$D$22</f>
        <v>A</v>
      </c>
      <c r="L364" s="11" t="str">
        <f ca="1">$E$22</f>
        <v>Rare</v>
      </c>
      <c r="M364" s="13">
        <f t="shared" ca="1" si="62"/>
        <v>0</v>
      </c>
      <c r="N364" s="3">
        <f t="shared" ca="1" si="62"/>
        <v>1</v>
      </c>
      <c r="O364">
        <f t="shared" ca="1" si="63"/>
        <v>0</v>
      </c>
      <c r="R364" s="1"/>
    </row>
    <row r="365" spans="7:18" x14ac:dyDescent="0.25">
      <c r="G365" t="str">
        <f t="shared" si="67"/>
        <v>D19-R19</v>
      </c>
      <c r="H365" t="str">
        <f>$A$24</f>
        <v>D20-R20</v>
      </c>
      <c r="I365" s="13" t="str">
        <f t="shared" ca="1" si="68"/>
        <v>B</v>
      </c>
      <c r="J365" s="13" t="str">
        <f t="shared" ca="1" si="69"/>
        <v>Rare</v>
      </c>
      <c r="K365" s="12" t="str">
        <f ca="1">$D$24</f>
        <v>AB</v>
      </c>
      <c r="L365" s="11" t="str">
        <f ca="1">$E$24</f>
        <v>Rare</v>
      </c>
      <c r="M365" s="13">
        <f t="shared" ca="1" si="62"/>
        <v>1</v>
      </c>
      <c r="N365" s="3">
        <f t="shared" ca="1" si="62"/>
        <v>1</v>
      </c>
      <c r="O365">
        <f t="shared" ca="1" si="63"/>
        <v>1</v>
      </c>
      <c r="R365" s="1"/>
    </row>
    <row r="366" spans="7:18" x14ac:dyDescent="0.25">
      <c r="G366" t="str">
        <f>$A$24</f>
        <v>D20-R20</v>
      </c>
      <c r="H366" t="str">
        <f>$A$5</f>
        <v>D1-R1</v>
      </c>
      <c r="I366" s="13" t="str">
        <f ca="1">$B$24</f>
        <v>B</v>
      </c>
      <c r="J366" s="13" t="str">
        <f ca="1">$C$24</f>
        <v>Rare</v>
      </c>
      <c r="K366" s="16" t="str">
        <f ca="1">$D$5</f>
        <v>O</v>
      </c>
      <c r="L366" s="13" t="str">
        <f ca="1">$E$5</f>
        <v>Rare</v>
      </c>
      <c r="M366" s="13">
        <f t="shared" ca="1" si="62"/>
        <v>0</v>
      </c>
      <c r="N366" s="3">
        <f t="shared" ca="1" si="62"/>
        <v>1</v>
      </c>
      <c r="O366">
        <f t="shared" ca="1" si="63"/>
        <v>0</v>
      </c>
      <c r="R366" s="1"/>
    </row>
    <row r="367" spans="7:18" x14ac:dyDescent="0.25">
      <c r="G367" t="str">
        <f t="shared" ref="G367:G384" si="70">$A$24</f>
        <v>D20-R20</v>
      </c>
      <c r="H367" t="str">
        <f>$A$6</f>
        <v>D2-R2</v>
      </c>
      <c r="I367" s="13" t="str">
        <f t="shared" ref="I367:I384" ca="1" si="71">$B$24</f>
        <v>B</v>
      </c>
      <c r="J367" s="13" t="str">
        <f t="shared" ref="J367:J384" ca="1" si="72">$C$24</f>
        <v>Rare</v>
      </c>
      <c r="K367" s="13" t="str">
        <f ca="1">$D$6</f>
        <v>AB</v>
      </c>
      <c r="L367" s="13" t="str">
        <f ca="1">$E$6</f>
        <v>Frequent</v>
      </c>
      <c r="M367" s="13">
        <f t="shared" ca="1" si="62"/>
        <v>1</v>
      </c>
      <c r="N367" s="3">
        <f t="shared" ca="1" si="62"/>
        <v>1</v>
      </c>
      <c r="O367">
        <f t="shared" ca="1" si="63"/>
        <v>1</v>
      </c>
      <c r="R367" s="1"/>
    </row>
    <row r="368" spans="7:18" x14ac:dyDescent="0.25">
      <c r="G368" t="str">
        <f t="shared" si="70"/>
        <v>D20-R20</v>
      </c>
      <c r="H368" t="str">
        <f>$A$7</f>
        <v>D3-R3</v>
      </c>
      <c r="I368" s="13" t="str">
        <f t="shared" ca="1" si="71"/>
        <v>B</v>
      </c>
      <c r="J368" s="13" t="str">
        <f t="shared" ca="1" si="72"/>
        <v>Rare</v>
      </c>
      <c r="K368" s="11" t="str">
        <f ca="1">$D$7</f>
        <v>B</v>
      </c>
      <c r="L368" s="11" t="str">
        <f ca="1">$E$7</f>
        <v>Frequent</v>
      </c>
      <c r="M368" s="13">
        <f t="shared" ca="1" si="62"/>
        <v>1</v>
      </c>
      <c r="N368" s="3">
        <f t="shared" ca="1" si="62"/>
        <v>1</v>
      </c>
      <c r="O368">
        <f t="shared" ca="1" si="63"/>
        <v>1</v>
      </c>
      <c r="R368" s="1"/>
    </row>
    <row r="369" spans="7:18" x14ac:dyDescent="0.25">
      <c r="G369" t="str">
        <f t="shared" si="70"/>
        <v>D20-R20</v>
      </c>
      <c r="H369" t="str">
        <f>$A$8</f>
        <v>D4-R4</v>
      </c>
      <c r="I369" s="13" t="str">
        <f t="shared" ca="1" si="71"/>
        <v>B</v>
      </c>
      <c r="J369" s="13" t="str">
        <f t="shared" ca="1" si="72"/>
        <v>Rare</v>
      </c>
      <c r="K369" s="15" t="str">
        <f ca="1">$D$8</f>
        <v>A</v>
      </c>
      <c r="L369" s="15" t="str">
        <f ca="1">$E$8</f>
        <v>Frequent</v>
      </c>
      <c r="M369" s="13">
        <f t="shared" ca="1" si="62"/>
        <v>0</v>
      </c>
      <c r="N369" s="3">
        <f t="shared" ca="1" si="62"/>
        <v>1</v>
      </c>
      <c r="O369">
        <f t="shared" ca="1" si="63"/>
        <v>0</v>
      </c>
      <c r="R369" s="1"/>
    </row>
    <row r="370" spans="7:18" x14ac:dyDescent="0.25">
      <c r="G370" t="str">
        <f t="shared" si="70"/>
        <v>D20-R20</v>
      </c>
      <c r="H370" t="str">
        <f>$A$9</f>
        <v>D5-R5</v>
      </c>
      <c r="I370" s="13" t="str">
        <f t="shared" ca="1" si="71"/>
        <v>B</v>
      </c>
      <c r="J370" s="13" t="str">
        <f t="shared" ca="1" si="72"/>
        <v>Rare</v>
      </c>
      <c r="K370" s="15" t="str">
        <f ca="1">$D$9</f>
        <v>AB</v>
      </c>
      <c r="L370" s="15" t="str">
        <f ca="1">$E$9</f>
        <v>Rare</v>
      </c>
      <c r="M370" s="13">
        <f t="shared" ca="1" si="62"/>
        <v>1</v>
      </c>
      <c r="N370" s="3">
        <f t="shared" ca="1" si="62"/>
        <v>1</v>
      </c>
      <c r="O370">
        <f t="shared" ca="1" si="63"/>
        <v>1</v>
      </c>
      <c r="R370" s="1"/>
    </row>
    <row r="371" spans="7:18" x14ac:dyDescent="0.25">
      <c r="G371" t="str">
        <f t="shared" si="70"/>
        <v>D20-R20</v>
      </c>
      <c r="H371" t="str">
        <f>$A$10</f>
        <v>D6-R6</v>
      </c>
      <c r="I371" s="13" t="str">
        <f t="shared" ca="1" si="71"/>
        <v>B</v>
      </c>
      <c r="J371" s="13" t="str">
        <f t="shared" ca="1" si="72"/>
        <v>Rare</v>
      </c>
      <c r="K371" s="15" t="str">
        <f ca="1">$D$10</f>
        <v>AB</v>
      </c>
      <c r="L371" s="15" t="str">
        <f ca="1">$E$10</f>
        <v>Frequent</v>
      </c>
      <c r="M371" s="13">
        <f t="shared" ca="1" si="62"/>
        <v>1</v>
      </c>
      <c r="N371" s="3">
        <f t="shared" ca="1" si="62"/>
        <v>1</v>
      </c>
      <c r="O371">
        <f t="shared" ca="1" si="63"/>
        <v>1</v>
      </c>
      <c r="R371" s="1"/>
    </row>
    <row r="372" spans="7:18" x14ac:dyDescent="0.25">
      <c r="G372" t="str">
        <f t="shared" si="70"/>
        <v>D20-R20</v>
      </c>
      <c r="H372" t="str">
        <f>$A$11</f>
        <v>D7-R7</v>
      </c>
      <c r="I372" s="13" t="str">
        <f t="shared" ca="1" si="71"/>
        <v>B</v>
      </c>
      <c r="J372" s="13" t="str">
        <f t="shared" ca="1" si="72"/>
        <v>Rare</v>
      </c>
      <c r="K372" s="15" t="str">
        <f ca="1">$D$11</f>
        <v>O</v>
      </c>
      <c r="L372" s="15" t="str">
        <f ca="1">$E$11</f>
        <v>Frequent</v>
      </c>
      <c r="M372" s="13">
        <f t="shared" ca="1" si="62"/>
        <v>0</v>
      </c>
      <c r="N372" s="3">
        <f t="shared" ca="1" si="62"/>
        <v>1</v>
      </c>
      <c r="O372">
        <f t="shared" ca="1" si="63"/>
        <v>0</v>
      </c>
      <c r="R372" s="1"/>
    </row>
    <row r="373" spans="7:18" x14ac:dyDescent="0.25">
      <c r="G373" t="str">
        <f t="shared" si="70"/>
        <v>D20-R20</v>
      </c>
      <c r="H373" t="str">
        <f>$A$12</f>
        <v>D8-R8</v>
      </c>
      <c r="I373" s="13" t="str">
        <f t="shared" ca="1" si="71"/>
        <v>B</v>
      </c>
      <c r="J373" s="13" t="str">
        <f t="shared" ca="1" si="72"/>
        <v>Rare</v>
      </c>
      <c r="K373" s="15" t="str">
        <f ca="1">$D$12</f>
        <v>B</v>
      </c>
      <c r="L373" s="15" t="str">
        <f ca="1">$E$12</f>
        <v>Rare</v>
      </c>
      <c r="M373" s="13">
        <f t="shared" ca="1" si="62"/>
        <v>1</v>
      </c>
      <c r="N373" s="3">
        <f t="shared" ca="1" si="62"/>
        <v>1</v>
      </c>
      <c r="O373">
        <f t="shared" ca="1" si="63"/>
        <v>1</v>
      </c>
      <c r="R373" s="1"/>
    </row>
    <row r="374" spans="7:18" x14ac:dyDescent="0.25">
      <c r="G374" t="str">
        <f t="shared" si="70"/>
        <v>D20-R20</v>
      </c>
      <c r="H374" t="str">
        <f>$A$13</f>
        <v>D9-R9</v>
      </c>
      <c r="I374" s="13" t="str">
        <f t="shared" ca="1" si="71"/>
        <v>B</v>
      </c>
      <c r="J374" s="13" t="str">
        <f t="shared" ca="1" si="72"/>
        <v>Rare</v>
      </c>
      <c r="K374" s="15" t="str">
        <f ca="1">$D$13</f>
        <v>A</v>
      </c>
      <c r="L374" s="15" t="str">
        <f ca="1">$E$13</f>
        <v>Frequent</v>
      </c>
      <c r="M374" s="13">
        <f t="shared" ca="1" si="62"/>
        <v>0</v>
      </c>
      <c r="N374" s="3">
        <f t="shared" ca="1" si="62"/>
        <v>1</v>
      </c>
      <c r="O374">
        <f t="shared" ca="1" si="63"/>
        <v>0</v>
      </c>
      <c r="R374" s="1"/>
    </row>
    <row r="375" spans="7:18" x14ac:dyDescent="0.25">
      <c r="G375" t="str">
        <f t="shared" si="70"/>
        <v>D20-R20</v>
      </c>
      <c r="H375" t="str">
        <f>$A$14</f>
        <v>D10-R10</v>
      </c>
      <c r="I375" s="13" t="str">
        <f t="shared" ca="1" si="71"/>
        <v>B</v>
      </c>
      <c r="J375" s="13" t="str">
        <f t="shared" ca="1" si="72"/>
        <v>Rare</v>
      </c>
      <c r="K375" s="11" t="str">
        <f ca="1">$D$14</f>
        <v>A</v>
      </c>
      <c r="L375" s="11" t="str">
        <f ca="1">$E$14</f>
        <v>Frequent</v>
      </c>
      <c r="M375" s="13">
        <f t="shared" ca="1" si="62"/>
        <v>0</v>
      </c>
      <c r="N375" s="3">
        <f t="shared" ca="1" si="62"/>
        <v>1</v>
      </c>
      <c r="O375">
        <f t="shared" ca="1" si="63"/>
        <v>0</v>
      </c>
      <c r="R375" s="1"/>
    </row>
    <row r="376" spans="7:18" x14ac:dyDescent="0.25">
      <c r="G376" t="str">
        <f t="shared" si="70"/>
        <v>D20-R20</v>
      </c>
      <c r="H376" t="str">
        <f>$A$15</f>
        <v>D11-R11</v>
      </c>
      <c r="I376" s="13" t="str">
        <f t="shared" ca="1" si="71"/>
        <v>B</v>
      </c>
      <c r="J376" s="13" t="str">
        <f t="shared" ca="1" si="72"/>
        <v>Rare</v>
      </c>
      <c r="K376" s="15" t="str">
        <f ca="1">$D$15</f>
        <v>AB</v>
      </c>
      <c r="L376" s="15" t="str">
        <f ca="1">$E$15</f>
        <v>Frequent</v>
      </c>
      <c r="M376" s="13">
        <f t="shared" ca="1" si="62"/>
        <v>1</v>
      </c>
      <c r="N376" s="3">
        <f t="shared" ca="1" si="62"/>
        <v>1</v>
      </c>
      <c r="O376">
        <f t="shared" ca="1" si="63"/>
        <v>1</v>
      </c>
      <c r="R376" s="1"/>
    </row>
    <row r="377" spans="7:18" x14ac:dyDescent="0.25">
      <c r="G377" t="str">
        <f t="shared" si="70"/>
        <v>D20-R20</v>
      </c>
      <c r="H377" t="str">
        <f>$A$16</f>
        <v>D12-R12</v>
      </c>
      <c r="I377" s="13" t="str">
        <f t="shared" ca="1" si="71"/>
        <v>B</v>
      </c>
      <c r="J377" s="13" t="str">
        <f t="shared" ca="1" si="72"/>
        <v>Rare</v>
      </c>
      <c r="K377" s="15" t="str">
        <f ca="1">$D$16</f>
        <v>B</v>
      </c>
      <c r="L377" s="15" t="str">
        <f ca="1">$E$16</f>
        <v>Rare</v>
      </c>
      <c r="M377" s="13">
        <f t="shared" ca="1" si="62"/>
        <v>1</v>
      </c>
      <c r="N377" s="3">
        <f t="shared" ca="1" si="62"/>
        <v>1</v>
      </c>
      <c r="O377">
        <f t="shared" ca="1" si="63"/>
        <v>1</v>
      </c>
      <c r="R377" s="1"/>
    </row>
    <row r="378" spans="7:18" x14ac:dyDescent="0.25">
      <c r="G378" t="str">
        <f t="shared" si="70"/>
        <v>D20-R20</v>
      </c>
      <c r="H378" t="str">
        <f>$A$17</f>
        <v>D13-R13</v>
      </c>
      <c r="I378" s="13" t="str">
        <f t="shared" ca="1" si="71"/>
        <v>B</v>
      </c>
      <c r="J378" s="13" t="str">
        <f t="shared" ca="1" si="72"/>
        <v>Rare</v>
      </c>
      <c r="K378" s="15" t="str">
        <f ca="1">$D$17</f>
        <v>AB</v>
      </c>
      <c r="L378" s="15" t="str">
        <f ca="1">$E$17</f>
        <v>Frequent</v>
      </c>
      <c r="M378" s="13">
        <f t="shared" ca="1" si="62"/>
        <v>1</v>
      </c>
      <c r="N378" s="3">
        <f t="shared" ca="1" si="62"/>
        <v>1</v>
      </c>
      <c r="O378">
        <f t="shared" ca="1" si="63"/>
        <v>1</v>
      </c>
      <c r="R378" s="1"/>
    </row>
    <row r="379" spans="7:18" x14ac:dyDescent="0.25">
      <c r="G379" t="str">
        <f t="shared" si="70"/>
        <v>D20-R20</v>
      </c>
      <c r="H379" t="str">
        <f>$A$18</f>
        <v>D14-R14</v>
      </c>
      <c r="I379" s="13" t="str">
        <f t="shared" ca="1" si="71"/>
        <v>B</v>
      </c>
      <c r="J379" s="13" t="str">
        <f t="shared" ca="1" si="72"/>
        <v>Rare</v>
      </c>
      <c r="K379" s="15" t="str">
        <f ca="1">$D$18</f>
        <v>B</v>
      </c>
      <c r="L379" s="15" t="str">
        <f ca="1">$E$18</f>
        <v>Frequent</v>
      </c>
      <c r="M379" s="13">
        <f t="shared" ca="1" si="62"/>
        <v>1</v>
      </c>
      <c r="N379" s="3">
        <f t="shared" ca="1" si="62"/>
        <v>1</v>
      </c>
      <c r="O379">
        <f t="shared" ca="1" si="63"/>
        <v>1</v>
      </c>
      <c r="R379" s="1"/>
    </row>
    <row r="380" spans="7:18" x14ac:dyDescent="0.25">
      <c r="G380" t="str">
        <f t="shared" si="70"/>
        <v>D20-R20</v>
      </c>
      <c r="H380" t="str">
        <f>$A$19</f>
        <v>D15-R15</v>
      </c>
      <c r="I380" s="13" t="str">
        <f t="shared" ca="1" si="71"/>
        <v>B</v>
      </c>
      <c r="J380" s="13" t="str">
        <f t="shared" ca="1" si="72"/>
        <v>Rare</v>
      </c>
      <c r="K380" s="15" t="str">
        <f ca="1">$D$19</f>
        <v>B</v>
      </c>
      <c r="L380" s="15" t="str">
        <f ca="1">$E$19</f>
        <v>Frequent</v>
      </c>
      <c r="M380" s="13">
        <f t="shared" ca="1" si="62"/>
        <v>1</v>
      </c>
      <c r="N380" s="3">
        <f t="shared" ca="1" si="62"/>
        <v>1</v>
      </c>
      <c r="O380">
        <f t="shared" ca="1" si="63"/>
        <v>1</v>
      </c>
      <c r="R380" s="1"/>
    </row>
    <row r="381" spans="7:18" x14ac:dyDescent="0.25">
      <c r="G381" t="str">
        <f t="shared" si="70"/>
        <v>D20-R20</v>
      </c>
      <c r="H381" t="str">
        <f>$A$20</f>
        <v>D16-R16</v>
      </c>
      <c r="I381" s="13" t="str">
        <f t="shared" ca="1" si="71"/>
        <v>B</v>
      </c>
      <c r="J381" s="13" t="str">
        <f t="shared" ca="1" si="72"/>
        <v>Rare</v>
      </c>
      <c r="K381" s="15" t="str">
        <f ca="1">$D$20</f>
        <v>B</v>
      </c>
      <c r="L381" s="15" t="str">
        <f ca="1">$E$20</f>
        <v>Frequent</v>
      </c>
      <c r="M381" s="13">
        <f t="shared" ca="1" si="62"/>
        <v>1</v>
      </c>
      <c r="N381" s="3">
        <f t="shared" ca="1" si="62"/>
        <v>1</v>
      </c>
      <c r="O381">
        <f t="shared" ca="1" si="63"/>
        <v>1</v>
      </c>
      <c r="R381" s="1"/>
    </row>
    <row r="382" spans="7:18" x14ac:dyDescent="0.25">
      <c r="G382" t="str">
        <f t="shared" si="70"/>
        <v>D20-R20</v>
      </c>
      <c r="H382" t="str">
        <f>$A$21</f>
        <v>D17-R17</v>
      </c>
      <c r="I382" s="13" t="str">
        <f t="shared" ca="1" si="71"/>
        <v>B</v>
      </c>
      <c r="J382" s="13" t="str">
        <f t="shared" ca="1" si="72"/>
        <v>Rare</v>
      </c>
      <c r="K382" s="11" t="str">
        <f ca="1">$D$21</f>
        <v>B</v>
      </c>
      <c r="L382" s="11" t="str">
        <f ca="1">$E$21</f>
        <v>Rare</v>
      </c>
      <c r="M382" s="13">
        <f t="shared" ca="1" si="62"/>
        <v>1</v>
      </c>
      <c r="N382" s="3">
        <f t="shared" ca="1" si="62"/>
        <v>1</v>
      </c>
      <c r="O382">
        <f t="shared" ca="1" si="63"/>
        <v>1</v>
      </c>
      <c r="R382" s="1"/>
    </row>
    <row r="383" spans="7:18" x14ac:dyDescent="0.25">
      <c r="G383" t="str">
        <f t="shared" si="70"/>
        <v>D20-R20</v>
      </c>
      <c r="H383" t="str">
        <f>$A$22</f>
        <v>D18-R18</v>
      </c>
      <c r="I383" s="13" t="str">
        <f t="shared" ca="1" si="71"/>
        <v>B</v>
      </c>
      <c r="J383" s="13" t="str">
        <f t="shared" ca="1" si="72"/>
        <v>Rare</v>
      </c>
      <c r="K383" s="11" t="str">
        <f ca="1">$D$22</f>
        <v>A</v>
      </c>
      <c r="L383" s="11" t="str">
        <f ca="1">$E$22</f>
        <v>Rare</v>
      </c>
      <c r="M383" s="13">
        <f t="shared" ca="1" si="62"/>
        <v>0</v>
      </c>
      <c r="N383" s="3">
        <f t="shared" ca="1" si="62"/>
        <v>1</v>
      </c>
      <c r="O383">
        <f t="shared" ca="1" si="63"/>
        <v>0</v>
      </c>
      <c r="R383" s="1"/>
    </row>
    <row r="384" spans="7:18" x14ac:dyDescent="0.25">
      <c r="G384" t="str">
        <f t="shared" si="70"/>
        <v>D20-R20</v>
      </c>
      <c r="H384" t="str">
        <f>$A$23</f>
        <v>D19-R19</v>
      </c>
      <c r="I384" s="13" t="str">
        <f t="shared" ca="1" si="71"/>
        <v>B</v>
      </c>
      <c r="J384" s="13" t="str">
        <f t="shared" ca="1" si="72"/>
        <v>Rare</v>
      </c>
      <c r="K384" s="11" t="str">
        <f ca="1">$D$23</f>
        <v>B</v>
      </c>
      <c r="L384" s="11" t="str">
        <f ca="1">$E$23</f>
        <v>Rare</v>
      </c>
      <c r="M384" s="13">
        <f t="shared" ca="1" si="62"/>
        <v>1</v>
      </c>
      <c r="N384" s="3">
        <f t="shared" ca="1" si="62"/>
        <v>1</v>
      </c>
      <c r="O384">
        <f t="shared" ca="1" si="63"/>
        <v>1</v>
      </c>
      <c r="R384" s="1"/>
    </row>
  </sheetData>
  <pageMargins left="0.7" right="0.7" top="0.75" bottom="0.75" header="0.3" footer="0.3"/>
  <pageSetup orientation="portrait" horizontalDpi="4294967292" verticalDpi="4294967292"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P383"/>
  <sheetViews>
    <sheetView tabSelected="1" zoomScale="55" zoomScaleNormal="55" workbookViewId="0">
      <selection activeCell="S11" sqref="S11"/>
    </sheetView>
  </sheetViews>
  <sheetFormatPr defaultRowHeight="15" x14ac:dyDescent="0.25"/>
  <cols>
    <col min="2" max="2" width="16.5703125" bestFit="1" customWidth="1"/>
    <col min="3" max="3" width="19.5703125" bestFit="1" customWidth="1"/>
    <col min="4" max="4" width="20.42578125" bestFit="1" customWidth="1"/>
    <col min="8" max="8" width="10.85546875" bestFit="1" customWidth="1"/>
    <col min="9" max="9" width="12.85546875" bestFit="1" customWidth="1"/>
    <col min="11" max="11" width="12.140625" bestFit="1" customWidth="1"/>
    <col min="14" max="14" width="15.42578125" bestFit="1" customWidth="1"/>
  </cols>
  <sheetData>
    <row r="3" spans="1:16" x14ac:dyDescent="0.25">
      <c r="A3" t="s">
        <v>74</v>
      </c>
      <c r="B3" s="2" t="s">
        <v>72</v>
      </c>
      <c r="C3" s="2" t="s">
        <v>71</v>
      </c>
      <c r="D3" s="2" t="s">
        <v>66</v>
      </c>
      <c r="E3" s="2" t="s">
        <v>111</v>
      </c>
      <c r="H3" s="2" t="s">
        <v>0</v>
      </c>
      <c r="I3" s="2" t="s">
        <v>73</v>
      </c>
      <c r="J3" s="2"/>
      <c r="K3" s="2"/>
      <c r="N3" t="s">
        <v>66</v>
      </c>
      <c r="O3" s="11" t="s">
        <v>110</v>
      </c>
      <c r="P3">
        <v>1</v>
      </c>
    </row>
    <row r="4" spans="1:16" x14ac:dyDescent="0.25">
      <c r="A4">
        <v>1</v>
      </c>
      <c r="B4" t="str">
        <f>Pairs!G5</f>
        <v>D1-R1</v>
      </c>
      <c r="C4" t="str">
        <f>Pairs!H5</f>
        <v>D2-R2</v>
      </c>
      <c r="D4">
        <f ca="1">Pairs!O5</f>
        <v>1</v>
      </c>
      <c r="E4" s="1">
        <v>0</v>
      </c>
      <c r="H4" s="11" t="s">
        <v>3</v>
      </c>
      <c r="I4">
        <f t="shared" ref="I4:I23" si="0">SUMIF(donatingto,H4,$E$4:$E$383)-SUMIF(receivingin,H4,$E$4:$E$383)</f>
        <v>0</v>
      </c>
      <c r="J4" s="11" t="s">
        <v>2</v>
      </c>
      <c r="K4">
        <v>1</v>
      </c>
    </row>
    <row r="5" spans="1:16" x14ac:dyDescent="0.25">
      <c r="A5">
        <v>1</v>
      </c>
      <c r="B5" t="str">
        <f>Pairs!G6</f>
        <v>D1-R1</v>
      </c>
      <c r="C5" t="str">
        <f>Pairs!H6</f>
        <v>D3-R3</v>
      </c>
      <c r="D5">
        <f ca="1">Pairs!O6</f>
        <v>0</v>
      </c>
      <c r="E5" s="1">
        <v>0</v>
      </c>
      <c r="H5" s="11" t="s">
        <v>4</v>
      </c>
      <c r="I5">
        <f t="shared" si="0"/>
        <v>0</v>
      </c>
      <c r="J5" s="11" t="s">
        <v>2</v>
      </c>
      <c r="K5">
        <v>0</v>
      </c>
    </row>
    <row r="6" spans="1:16" x14ac:dyDescent="0.25">
      <c r="A6">
        <v>1</v>
      </c>
      <c r="B6" t="str">
        <f>Pairs!G7</f>
        <v>D1-R1</v>
      </c>
      <c r="C6" t="str">
        <f>Pairs!H7</f>
        <v>D4-R4</v>
      </c>
      <c r="D6">
        <f ca="1">Pairs!O7</f>
        <v>1</v>
      </c>
      <c r="E6" s="1">
        <v>0</v>
      </c>
      <c r="H6" s="11" t="s">
        <v>5</v>
      </c>
      <c r="I6">
        <f t="shared" si="0"/>
        <v>0</v>
      </c>
      <c r="J6" s="11" t="s">
        <v>2</v>
      </c>
      <c r="K6">
        <v>0</v>
      </c>
    </row>
    <row r="7" spans="1:16" x14ac:dyDescent="0.25">
      <c r="A7">
        <v>1</v>
      </c>
      <c r="B7" t="str">
        <f>Pairs!G8</f>
        <v>D1-R1</v>
      </c>
      <c r="C7" t="str">
        <f>Pairs!H8</f>
        <v>D5-R5</v>
      </c>
      <c r="D7">
        <f ca="1">Pairs!O8</f>
        <v>1</v>
      </c>
      <c r="E7" s="1">
        <v>0</v>
      </c>
      <c r="H7" s="11" t="s">
        <v>6</v>
      </c>
      <c r="I7">
        <f t="shared" si="0"/>
        <v>0</v>
      </c>
      <c r="J7" s="11" t="s">
        <v>2</v>
      </c>
      <c r="K7">
        <v>0</v>
      </c>
    </row>
    <row r="8" spans="1:16" x14ac:dyDescent="0.25">
      <c r="A8">
        <v>1</v>
      </c>
      <c r="B8" t="str">
        <f>Pairs!G9</f>
        <v>D1-R1</v>
      </c>
      <c r="C8" t="str">
        <f>Pairs!H9</f>
        <v>D6-R6</v>
      </c>
      <c r="D8">
        <f ca="1">Pairs!O9</f>
        <v>1</v>
      </c>
      <c r="E8" s="1">
        <v>0</v>
      </c>
      <c r="H8" s="11" t="s">
        <v>7</v>
      </c>
      <c r="I8">
        <f t="shared" si="0"/>
        <v>0</v>
      </c>
      <c r="J8" s="11" t="s">
        <v>2</v>
      </c>
      <c r="K8">
        <v>0</v>
      </c>
      <c r="N8" t="s">
        <v>46</v>
      </c>
    </row>
    <row r="9" spans="1:16" x14ac:dyDescent="0.25">
      <c r="A9">
        <v>1</v>
      </c>
      <c r="B9" t="str">
        <f>Pairs!G10</f>
        <v>D1-R1</v>
      </c>
      <c r="C9" t="str">
        <f>Pairs!H10</f>
        <v>D7-R7</v>
      </c>
      <c r="D9">
        <f ca="1">Pairs!O10</f>
        <v>0</v>
      </c>
      <c r="E9" s="1">
        <v>0</v>
      </c>
      <c r="H9" s="11" t="s">
        <v>49</v>
      </c>
      <c r="I9">
        <f t="shared" si="0"/>
        <v>0</v>
      </c>
      <c r="J9" s="11" t="s">
        <v>2</v>
      </c>
      <c r="K9">
        <v>0</v>
      </c>
      <c r="N9" s="21">
        <f>SUM(E4:E383)</f>
        <v>0</v>
      </c>
    </row>
    <row r="10" spans="1:16" x14ac:dyDescent="0.25">
      <c r="A10">
        <v>1</v>
      </c>
      <c r="B10" t="str">
        <f>Pairs!G11</f>
        <v>D1-R1</v>
      </c>
      <c r="C10" t="str">
        <f>Pairs!H11</f>
        <v>D8-R8</v>
      </c>
      <c r="D10">
        <f ca="1">Pairs!O11</f>
        <v>0</v>
      </c>
      <c r="E10" s="1">
        <v>0</v>
      </c>
      <c r="H10" s="11" t="s">
        <v>50</v>
      </c>
      <c r="I10">
        <f t="shared" si="0"/>
        <v>0</v>
      </c>
      <c r="J10" s="11" t="s">
        <v>2</v>
      </c>
      <c r="K10">
        <v>0</v>
      </c>
    </row>
    <row r="11" spans="1:16" x14ac:dyDescent="0.25">
      <c r="A11">
        <v>1</v>
      </c>
      <c r="B11" t="str">
        <f>Pairs!G12</f>
        <v>D1-R1</v>
      </c>
      <c r="C11" t="str">
        <f>Pairs!H12</f>
        <v>D9-R9</v>
      </c>
      <c r="D11">
        <f ca="1">Pairs!O12</f>
        <v>1</v>
      </c>
      <c r="E11" s="1">
        <v>0</v>
      </c>
      <c r="H11" s="11" t="s">
        <v>51</v>
      </c>
      <c r="I11">
        <f t="shared" si="0"/>
        <v>0</v>
      </c>
      <c r="J11" s="11" t="s">
        <v>2</v>
      </c>
      <c r="K11">
        <v>0</v>
      </c>
    </row>
    <row r="12" spans="1:16" x14ac:dyDescent="0.25">
      <c r="A12">
        <v>1</v>
      </c>
      <c r="B12" t="str">
        <f>Pairs!G13</f>
        <v>D1-R1</v>
      </c>
      <c r="C12" t="str">
        <f>Pairs!H13</f>
        <v>D10-R10</v>
      </c>
      <c r="D12">
        <f ca="1">Pairs!O13</f>
        <v>1</v>
      </c>
      <c r="E12" s="1">
        <v>0</v>
      </c>
      <c r="H12" s="11" t="s">
        <v>52</v>
      </c>
      <c r="I12">
        <f t="shared" si="0"/>
        <v>0</v>
      </c>
      <c r="J12" s="11" t="s">
        <v>2</v>
      </c>
      <c r="K12">
        <v>0</v>
      </c>
      <c r="L12" s="3"/>
    </row>
    <row r="13" spans="1:16" x14ac:dyDescent="0.25">
      <c r="A13">
        <v>1</v>
      </c>
      <c r="B13" t="str">
        <f>Pairs!G14</f>
        <v>D1-R1</v>
      </c>
      <c r="C13" t="str">
        <f>Pairs!H14</f>
        <v>D11-R11</v>
      </c>
      <c r="D13">
        <f ca="1">Pairs!O14</f>
        <v>1</v>
      </c>
      <c r="E13" s="1">
        <v>0</v>
      </c>
      <c r="H13" s="15" t="s">
        <v>53</v>
      </c>
      <c r="I13">
        <f t="shared" si="0"/>
        <v>0</v>
      </c>
      <c r="J13" s="11" t="s">
        <v>2</v>
      </c>
      <c r="K13">
        <v>0</v>
      </c>
      <c r="L13" s="3"/>
    </row>
    <row r="14" spans="1:16" x14ac:dyDescent="0.25">
      <c r="A14">
        <v>1</v>
      </c>
      <c r="B14" t="str">
        <f>Pairs!G15</f>
        <v>D1-R1</v>
      </c>
      <c r="C14" t="str">
        <f>Pairs!H15</f>
        <v>D12-R12</v>
      </c>
      <c r="D14">
        <f ca="1">Pairs!O15</f>
        <v>0</v>
      </c>
      <c r="E14" s="1">
        <v>0</v>
      </c>
      <c r="H14" s="15" t="s">
        <v>54</v>
      </c>
      <c r="I14">
        <f t="shared" si="0"/>
        <v>0</v>
      </c>
      <c r="J14" s="11" t="s">
        <v>2</v>
      </c>
      <c r="K14">
        <v>0</v>
      </c>
      <c r="L14" s="3"/>
    </row>
    <row r="15" spans="1:16" x14ac:dyDescent="0.25">
      <c r="A15">
        <v>1</v>
      </c>
      <c r="B15" t="str">
        <f>Pairs!G16</f>
        <v>D1-R1</v>
      </c>
      <c r="C15" t="str">
        <f>Pairs!H16</f>
        <v>D13-R13</v>
      </c>
      <c r="D15">
        <f ca="1">Pairs!O16</f>
        <v>1</v>
      </c>
      <c r="E15" s="1">
        <v>0</v>
      </c>
      <c r="H15" s="15" t="s">
        <v>55</v>
      </c>
      <c r="I15">
        <f t="shared" si="0"/>
        <v>0</v>
      </c>
      <c r="J15" s="11" t="s">
        <v>2</v>
      </c>
      <c r="K15">
        <v>-1</v>
      </c>
      <c r="L15" s="3"/>
    </row>
    <row r="16" spans="1:16" x14ac:dyDescent="0.25">
      <c r="A16">
        <v>1</v>
      </c>
      <c r="B16" t="str">
        <f>Pairs!G17</f>
        <v>D1-R1</v>
      </c>
      <c r="C16" t="str">
        <f>Pairs!H17</f>
        <v>D14-R14</v>
      </c>
      <c r="D16">
        <f ca="1">Pairs!O17</f>
        <v>0</v>
      </c>
      <c r="E16" s="1">
        <v>0</v>
      </c>
      <c r="H16" s="15" t="s">
        <v>56</v>
      </c>
      <c r="I16">
        <f t="shared" si="0"/>
        <v>0</v>
      </c>
      <c r="J16" s="11" t="s">
        <v>2</v>
      </c>
      <c r="K16">
        <v>0</v>
      </c>
      <c r="L16" s="3"/>
    </row>
    <row r="17" spans="1:12" x14ac:dyDescent="0.25">
      <c r="A17">
        <v>1</v>
      </c>
      <c r="B17" t="str">
        <f>Pairs!G18</f>
        <v>D1-R1</v>
      </c>
      <c r="C17" t="str">
        <f>Pairs!H18</f>
        <v>D15-R15</v>
      </c>
      <c r="D17">
        <f ca="1">Pairs!O18</f>
        <v>0</v>
      </c>
      <c r="E17" s="1">
        <v>0</v>
      </c>
      <c r="H17" s="15" t="s">
        <v>58</v>
      </c>
      <c r="I17">
        <f t="shared" si="0"/>
        <v>0</v>
      </c>
      <c r="J17" s="11" t="s">
        <v>2</v>
      </c>
      <c r="K17">
        <v>0</v>
      </c>
      <c r="L17" s="3"/>
    </row>
    <row r="18" spans="1:12" x14ac:dyDescent="0.25">
      <c r="A18">
        <v>1</v>
      </c>
      <c r="B18" t="str">
        <f>Pairs!G19</f>
        <v>D1-R1</v>
      </c>
      <c r="C18" t="str">
        <f>Pairs!H19</f>
        <v>D16-R16</v>
      </c>
      <c r="D18">
        <f ca="1">Pairs!O19</f>
        <v>0</v>
      </c>
      <c r="E18" s="1">
        <v>0</v>
      </c>
      <c r="G18" s="3"/>
      <c r="H18" s="15" t="s">
        <v>57</v>
      </c>
      <c r="I18">
        <f t="shared" si="0"/>
        <v>0</v>
      </c>
      <c r="J18" s="11" t="s">
        <v>2</v>
      </c>
      <c r="K18">
        <v>0</v>
      </c>
    </row>
    <row r="19" spans="1:12" x14ac:dyDescent="0.25">
      <c r="A19">
        <v>1</v>
      </c>
      <c r="B19" t="str">
        <f>Pairs!G20</f>
        <v>D1-R1</v>
      </c>
      <c r="C19" t="str">
        <f>Pairs!H20</f>
        <v>D17-R17</v>
      </c>
      <c r="D19">
        <f ca="1">Pairs!O20</f>
        <v>0</v>
      </c>
      <c r="E19" s="1">
        <v>0</v>
      </c>
      <c r="H19" s="15" t="s">
        <v>59</v>
      </c>
      <c r="I19">
        <f t="shared" si="0"/>
        <v>0</v>
      </c>
      <c r="J19" s="11" t="s">
        <v>2</v>
      </c>
      <c r="K19">
        <v>0</v>
      </c>
    </row>
    <row r="20" spans="1:12" x14ac:dyDescent="0.25">
      <c r="A20">
        <v>1</v>
      </c>
      <c r="B20" t="str">
        <f>Pairs!G21</f>
        <v>D1-R1</v>
      </c>
      <c r="C20" t="str">
        <f>Pairs!H21</f>
        <v>D18-R18</v>
      </c>
      <c r="D20">
        <f ca="1">Pairs!O21</f>
        <v>1</v>
      </c>
      <c r="E20" s="1">
        <v>0</v>
      </c>
      <c r="H20" s="15" t="s">
        <v>60</v>
      </c>
      <c r="I20">
        <f t="shared" si="0"/>
        <v>0</v>
      </c>
      <c r="J20" s="11" t="s">
        <v>2</v>
      </c>
      <c r="K20">
        <v>0</v>
      </c>
    </row>
    <row r="21" spans="1:12" x14ac:dyDescent="0.25">
      <c r="A21">
        <v>1</v>
      </c>
      <c r="B21" t="str">
        <f>Pairs!G22</f>
        <v>D1-R1</v>
      </c>
      <c r="C21" t="str">
        <f>Pairs!H22</f>
        <v>D19-R19</v>
      </c>
      <c r="D21">
        <f ca="1">Pairs!O22</f>
        <v>0</v>
      </c>
      <c r="E21" s="1">
        <v>0</v>
      </c>
      <c r="H21" s="15" t="s">
        <v>61</v>
      </c>
      <c r="I21">
        <f t="shared" si="0"/>
        <v>0</v>
      </c>
      <c r="J21" s="11" t="s">
        <v>2</v>
      </c>
      <c r="K21">
        <v>0</v>
      </c>
    </row>
    <row r="22" spans="1:12" x14ac:dyDescent="0.25">
      <c r="A22">
        <v>1</v>
      </c>
      <c r="B22" t="str">
        <f>Pairs!G23</f>
        <v>D1-R1</v>
      </c>
      <c r="C22" t="str">
        <f>Pairs!H23</f>
        <v>D20-R20</v>
      </c>
      <c r="D22">
        <f ca="1">Pairs!O23</f>
        <v>1</v>
      </c>
      <c r="E22" s="1">
        <v>0</v>
      </c>
      <c r="H22" s="15" t="s">
        <v>62</v>
      </c>
      <c r="I22">
        <f t="shared" si="0"/>
        <v>0</v>
      </c>
      <c r="J22" s="11" t="s">
        <v>2</v>
      </c>
      <c r="K22">
        <v>0</v>
      </c>
    </row>
    <row r="23" spans="1:12" x14ac:dyDescent="0.25">
      <c r="A23">
        <v>1</v>
      </c>
      <c r="B23" t="str">
        <f>Pairs!G24</f>
        <v>D2-R2</v>
      </c>
      <c r="C23" t="str">
        <f>Pairs!H24</f>
        <v>D1-R1</v>
      </c>
      <c r="D23">
        <f ca="1">Pairs!O24</f>
        <v>0</v>
      </c>
      <c r="E23" s="1">
        <v>0</v>
      </c>
      <c r="H23" s="15" t="s">
        <v>63</v>
      </c>
      <c r="I23">
        <f t="shared" si="0"/>
        <v>0</v>
      </c>
      <c r="J23" s="11" t="s">
        <v>2</v>
      </c>
      <c r="K23">
        <v>0</v>
      </c>
    </row>
    <row r="24" spans="1:12" x14ac:dyDescent="0.25">
      <c r="A24">
        <v>1</v>
      </c>
      <c r="B24" t="str">
        <f>Pairs!G25</f>
        <v>D2-R2</v>
      </c>
      <c r="C24" t="str">
        <f>Pairs!H25</f>
        <v>D3-R3</v>
      </c>
      <c r="D24">
        <f ca="1">Pairs!O25</f>
        <v>0</v>
      </c>
      <c r="E24" s="1">
        <v>0</v>
      </c>
    </row>
    <row r="25" spans="1:12" x14ac:dyDescent="0.25">
      <c r="A25">
        <v>1</v>
      </c>
      <c r="B25" t="str">
        <f>Pairs!G26</f>
        <v>D2-R2</v>
      </c>
      <c r="C25" t="str">
        <f>Pairs!H26</f>
        <v>D4-R4</v>
      </c>
      <c r="D25">
        <f ca="1">Pairs!O26</f>
        <v>0</v>
      </c>
      <c r="E25" s="1">
        <v>0</v>
      </c>
      <c r="H25" s="20" t="s">
        <v>75</v>
      </c>
    </row>
    <row r="26" spans="1:12" x14ac:dyDescent="0.25">
      <c r="A26">
        <v>1</v>
      </c>
      <c r="B26" t="str">
        <f>Pairs!G27</f>
        <v>D2-R2</v>
      </c>
      <c r="C26" t="str">
        <f>Pairs!H27</f>
        <v>D5-R5</v>
      </c>
      <c r="D26">
        <f ca="1">Pairs!O27</f>
        <v>1</v>
      </c>
      <c r="E26" s="1">
        <v>0</v>
      </c>
      <c r="H26" s="11" t="s">
        <v>3</v>
      </c>
      <c r="I26">
        <f t="shared" ref="I26:I45" si="1">SUMIF(donatingto,H26,$E$4:$E$383)</f>
        <v>0</v>
      </c>
      <c r="J26" s="11" t="s">
        <v>8</v>
      </c>
      <c r="K26">
        <f t="shared" ref="K26:K45" si="2">1/SUMIF(donatingto,H26,count)</f>
        <v>5.2631578947368418E-2</v>
      </c>
    </row>
    <row r="27" spans="1:12" x14ac:dyDescent="0.25">
      <c r="A27">
        <v>1</v>
      </c>
      <c r="B27" t="str">
        <f>Pairs!G28</f>
        <v>D2-R2</v>
      </c>
      <c r="C27" t="str">
        <f>Pairs!H28</f>
        <v>D6-R6</v>
      </c>
      <c r="D27">
        <f ca="1">Pairs!O28</f>
        <v>1</v>
      </c>
      <c r="E27" s="1">
        <v>0</v>
      </c>
      <c r="H27" s="11" t="s">
        <v>4</v>
      </c>
      <c r="I27">
        <f t="shared" si="1"/>
        <v>0</v>
      </c>
      <c r="J27" s="11" t="s">
        <v>8</v>
      </c>
      <c r="K27">
        <f t="shared" si="2"/>
        <v>5.2631578947368418E-2</v>
      </c>
    </row>
    <row r="28" spans="1:12" x14ac:dyDescent="0.25">
      <c r="A28">
        <v>1</v>
      </c>
      <c r="B28" t="str">
        <f>Pairs!G29</f>
        <v>D2-R2</v>
      </c>
      <c r="C28" t="str">
        <f>Pairs!H29</f>
        <v>D7-R7</v>
      </c>
      <c r="D28">
        <f ca="1">Pairs!O29</f>
        <v>0</v>
      </c>
      <c r="E28" s="1">
        <v>0</v>
      </c>
      <c r="H28" s="11" t="s">
        <v>5</v>
      </c>
      <c r="I28">
        <f t="shared" si="1"/>
        <v>0</v>
      </c>
      <c r="J28" s="11" t="s">
        <v>8</v>
      </c>
      <c r="K28">
        <f t="shared" si="2"/>
        <v>5.2631578947368418E-2</v>
      </c>
    </row>
    <row r="29" spans="1:12" x14ac:dyDescent="0.25">
      <c r="A29">
        <v>1</v>
      </c>
      <c r="B29" t="str">
        <f>Pairs!G30</f>
        <v>D2-R2</v>
      </c>
      <c r="C29" t="str">
        <f>Pairs!H30</f>
        <v>D8-R8</v>
      </c>
      <c r="D29">
        <f ca="1">Pairs!O30</f>
        <v>0</v>
      </c>
      <c r="E29" s="1">
        <v>0</v>
      </c>
      <c r="H29" s="11" t="s">
        <v>6</v>
      </c>
      <c r="I29">
        <f t="shared" si="1"/>
        <v>0</v>
      </c>
      <c r="J29" s="11" t="s">
        <v>8</v>
      </c>
      <c r="K29">
        <f t="shared" si="2"/>
        <v>5.2631578947368418E-2</v>
      </c>
    </row>
    <row r="30" spans="1:12" x14ac:dyDescent="0.25">
      <c r="A30">
        <v>1</v>
      </c>
      <c r="B30" t="str">
        <f>Pairs!G31</f>
        <v>D2-R2</v>
      </c>
      <c r="C30" t="str">
        <f>Pairs!H31</f>
        <v>D9-R9</v>
      </c>
      <c r="D30">
        <f ca="1">Pairs!O31</f>
        <v>0</v>
      </c>
      <c r="E30" s="1">
        <v>0</v>
      </c>
      <c r="H30" s="11" t="s">
        <v>7</v>
      </c>
      <c r="I30">
        <f t="shared" si="1"/>
        <v>0</v>
      </c>
      <c r="J30" s="11" t="s">
        <v>8</v>
      </c>
      <c r="K30">
        <f t="shared" si="2"/>
        <v>5.2631578947368418E-2</v>
      </c>
    </row>
    <row r="31" spans="1:12" x14ac:dyDescent="0.25">
      <c r="A31">
        <v>1</v>
      </c>
      <c r="B31" t="str">
        <f>Pairs!G32</f>
        <v>D2-R2</v>
      </c>
      <c r="C31" t="str">
        <f>Pairs!H32</f>
        <v>D10-R10</v>
      </c>
      <c r="D31">
        <f ca="1">Pairs!O32</f>
        <v>0</v>
      </c>
      <c r="E31" s="1">
        <v>0</v>
      </c>
      <c r="H31" s="11" t="s">
        <v>49</v>
      </c>
      <c r="I31">
        <f t="shared" si="1"/>
        <v>0</v>
      </c>
      <c r="J31" s="11" t="s">
        <v>8</v>
      </c>
      <c r="K31">
        <f t="shared" si="2"/>
        <v>5.2631578947368418E-2</v>
      </c>
    </row>
    <row r="32" spans="1:12" x14ac:dyDescent="0.25">
      <c r="A32">
        <v>1</v>
      </c>
      <c r="B32" t="str">
        <f>Pairs!G33</f>
        <v>D2-R2</v>
      </c>
      <c r="C32" t="str">
        <f>Pairs!H33</f>
        <v>D11-R11</v>
      </c>
      <c r="D32">
        <f ca="1">Pairs!O33</f>
        <v>1</v>
      </c>
      <c r="E32" s="1">
        <v>0</v>
      </c>
      <c r="H32" s="11" t="s">
        <v>50</v>
      </c>
      <c r="I32">
        <f t="shared" si="1"/>
        <v>0</v>
      </c>
      <c r="J32" s="11" t="s">
        <v>8</v>
      </c>
      <c r="K32">
        <f t="shared" si="2"/>
        <v>5.2631578947368418E-2</v>
      </c>
    </row>
    <row r="33" spans="1:11" x14ac:dyDescent="0.25">
      <c r="A33">
        <v>1</v>
      </c>
      <c r="B33" t="str">
        <f>Pairs!G34</f>
        <v>D2-R2</v>
      </c>
      <c r="C33" t="str">
        <f>Pairs!H34</f>
        <v>D12-R12</v>
      </c>
      <c r="D33">
        <f ca="1">Pairs!O34</f>
        <v>0</v>
      </c>
      <c r="E33" s="1">
        <v>0</v>
      </c>
      <c r="H33" s="11" t="s">
        <v>51</v>
      </c>
      <c r="I33">
        <f t="shared" si="1"/>
        <v>0</v>
      </c>
      <c r="J33" s="11" t="s">
        <v>8</v>
      </c>
      <c r="K33">
        <f t="shared" si="2"/>
        <v>5.2631578947368418E-2</v>
      </c>
    </row>
    <row r="34" spans="1:11" x14ac:dyDescent="0.25">
      <c r="A34">
        <v>1</v>
      </c>
      <c r="B34" t="str">
        <f>Pairs!G35</f>
        <v>D2-R2</v>
      </c>
      <c r="C34" t="str">
        <f>Pairs!H35</f>
        <v>D13-R13</v>
      </c>
      <c r="D34">
        <f ca="1">Pairs!O35</f>
        <v>1</v>
      </c>
      <c r="E34" s="1">
        <v>0</v>
      </c>
      <c r="H34" s="11" t="s">
        <v>52</v>
      </c>
      <c r="I34">
        <f t="shared" si="1"/>
        <v>0</v>
      </c>
      <c r="J34" s="11" t="s">
        <v>8</v>
      </c>
      <c r="K34">
        <f t="shared" si="2"/>
        <v>5.2631578947368418E-2</v>
      </c>
    </row>
    <row r="35" spans="1:11" x14ac:dyDescent="0.25">
      <c r="A35">
        <v>1</v>
      </c>
      <c r="B35" t="str">
        <f>Pairs!G36</f>
        <v>D2-R2</v>
      </c>
      <c r="C35" t="str">
        <f>Pairs!H36</f>
        <v>D14-R14</v>
      </c>
      <c r="D35">
        <f ca="1">Pairs!O36</f>
        <v>0</v>
      </c>
      <c r="E35" s="1">
        <v>0</v>
      </c>
      <c r="H35" s="15" t="s">
        <v>53</v>
      </c>
      <c r="I35">
        <f t="shared" si="1"/>
        <v>0</v>
      </c>
      <c r="J35" s="11" t="s">
        <v>8</v>
      </c>
      <c r="K35">
        <f t="shared" si="2"/>
        <v>5.2631578947368418E-2</v>
      </c>
    </row>
    <row r="36" spans="1:11" x14ac:dyDescent="0.25">
      <c r="A36">
        <v>1</v>
      </c>
      <c r="B36" t="str">
        <f>Pairs!G37</f>
        <v>D2-R2</v>
      </c>
      <c r="C36" t="str">
        <f>Pairs!H37</f>
        <v>D15-R15</v>
      </c>
      <c r="D36">
        <f ca="1">Pairs!O37</f>
        <v>0</v>
      </c>
      <c r="E36" s="1">
        <v>0</v>
      </c>
      <c r="H36" s="15" t="s">
        <v>54</v>
      </c>
      <c r="I36">
        <f t="shared" si="1"/>
        <v>0</v>
      </c>
      <c r="J36" s="11" t="s">
        <v>8</v>
      </c>
      <c r="K36">
        <f t="shared" si="2"/>
        <v>5.2631578947368418E-2</v>
      </c>
    </row>
    <row r="37" spans="1:11" x14ac:dyDescent="0.25">
      <c r="A37">
        <v>1</v>
      </c>
      <c r="B37" t="str">
        <f>Pairs!G38</f>
        <v>D2-R2</v>
      </c>
      <c r="C37" t="str">
        <f>Pairs!H38</f>
        <v>D16-R16</v>
      </c>
      <c r="D37">
        <f ca="1">Pairs!O38</f>
        <v>0</v>
      </c>
      <c r="E37" s="1">
        <v>0</v>
      </c>
      <c r="H37" s="15" t="s">
        <v>55</v>
      </c>
      <c r="I37">
        <f t="shared" si="1"/>
        <v>0</v>
      </c>
      <c r="J37" s="11" t="s">
        <v>8</v>
      </c>
      <c r="K37">
        <f t="shared" si="2"/>
        <v>5.2631578947368418E-2</v>
      </c>
    </row>
    <row r="38" spans="1:11" x14ac:dyDescent="0.25">
      <c r="A38">
        <v>1</v>
      </c>
      <c r="B38" t="str">
        <f>Pairs!G39</f>
        <v>D2-R2</v>
      </c>
      <c r="C38" t="str">
        <f>Pairs!H39</f>
        <v>D17-R17</v>
      </c>
      <c r="D38">
        <f ca="1">Pairs!O39</f>
        <v>0</v>
      </c>
      <c r="E38" s="1">
        <v>0</v>
      </c>
      <c r="H38" s="15" t="s">
        <v>56</v>
      </c>
      <c r="I38">
        <f t="shared" si="1"/>
        <v>0</v>
      </c>
      <c r="J38" s="11" t="s">
        <v>8</v>
      </c>
      <c r="K38">
        <f t="shared" si="2"/>
        <v>5.2631578947368418E-2</v>
      </c>
    </row>
    <row r="39" spans="1:11" x14ac:dyDescent="0.25">
      <c r="A39">
        <v>1</v>
      </c>
      <c r="B39" t="str">
        <f>Pairs!G40</f>
        <v>D2-R2</v>
      </c>
      <c r="C39" t="str">
        <f>Pairs!H40</f>
        <v>D18-R18</v>
      </c>
      <c r="D39">
        <f ca="1">Pairs!O40</f>
        <v>0</v>
      </c>
      <c r="E39" s="1">
        <v>0</v>
      </c>
      <c r="H39" s="15" t="s">
        <v>58</v>
      </c>
      <c r="I39">
        <f t="shared" si="1"/>
        <v>0</v>
      </c>
      <c r="J39" s="11" t="s">
        <v>8</v>
      </c>
      <c r="K39">
        <f t="shared" si="2"/>
        <v>5.2631578947368418E-2</v>
      </c>
    </row>
    <row r="40" spans="1:11" x14ac:dyDescent="0.25">
      <c r="A40">
        <v>1</v>
      </c>
      <c r="B40" t="str">
        <f>Pairs!G41</f>
        <v>D2-R2</v>
      </c>
      <c r="C40" t="str">
        <f>Pairs!H41</f>
        <v>D19-R19</v>
      </c>
      <c r="D40">
        <f ca="1">Pairs!O41</f>
        <v>0</v>
      </c>
      <c r="E40" s="1">
        <v>0</v>
      </c>
      <c r="H40" s="15" t="s">
        <v>57</v>
      </c>
      <c r="I40">
        <f t="shared" si="1"/>
        <v>0</v>
      </c>
      <c r="J40" s="11" t="s">
        <v>8</v>
      </c>
      <c r="K40">
        <f t="shared" si="2"/>
        <v>5.2631578947368418E-2</v>
      </c>
    </row>
    <row r="41" spans="1:11" x14ac:dyDescent="0.25">
      <c r="A41">
        <v>1</v>
      </c>
      <c r="B41" t="str">
        <f>Pairs!G42</f>
        <v>D2-R2</v>
      </c>
      <c r="C41" t="str">
        <f>Pairs!H42</f>
        <v>D20-R20</v>
      </c>
      <c r="D41">
        <f ca="1">Pairs!O42</f>
        <v>1</v>
      </c>
      <c r="E41" s="1">
        <v>0</v>
      </c>
      <c r="H41" s="15" t="s">
        <v>59</v>
      </c>
      <c r="I41">
        <f t="shared" si="1"/>
        <v>0</v>
      </c>
      <c r="J41" s="11" t="s">
        <v>8</v>
      </c>
      <c r="K41">
        <f t="shared" si="2"/>
        <v>5.2631578947368418E-2</v>
      </c>
    </row>
    <row r="42" spans="1:11" x14ac:dyDescent="0.25">
      <c r="A42">
        <v>1</v>
      </c>
      <c r="B42" t="str">
        <f>Pairs!G43</f>
        <v>D3-R3</v>
      </c>
      <c r="C42" t="str">
        <f>Pairs!H43</f>
        <v>D1-R1</v>
      </c>
      <c r="D42">
        <f ca="1">Pairs!O43</f>
        <v>1</v>
      </c>
      <c r="E42" s="1">
        <v>0</v>
      </c>
      <c r="H42" s="15" t="s">
        <v>60</v>
      </c>
      <c r="I42">
        <f t="shared" si="1"/>
        <v>0</v>
      </c>
      <c r="J42" s="11" t="s">
        <v>8</v>
      </c>
      <c r="K42">
        <f t="shared" si="2"/>
        <v>5.2631578947368418E-2</v>
      </c>
    </row>
    <row r="43" spans="1:11" x14ac:dyDescent="0.25">
      <c r="A43">
        <v>1</v>
      </c>
      <c r="B43" t="str">
        <f>Pairs!G44</f>
        <v>D3-R3</v>
      </c>
      <c r="C43" t="str">
        <f>Pairs!H44</f>
        <v>D2-R2</v>
      </c>
      <c r="D43">
        <f ca="1">Pairs!O44</f>
        <v>1</v>
      </c>
      <c r="E43" s="1">
        <v>0</v>
      </c>
      <c r="H43" s="15" t="s">
        <v>61</v>
      </c>
      <c r="I43">
        <f t="shared" si="1"/>
        <v>0</v>
      </c>
      <c r="J43" s="11" t="s">
        <v>8</v>
      </c>
      <c r="K43">
        <f t="shared" si="2"/>
        <v>5.2631578947368418E-2</v>
      </c>
    </row>
    <row r="44" spans="1:11" x14ac:dyDescent="0.25">
      <c r="A44">
        <v>1</v>
      </c>
      <c r="B44" t="str">
        <f>Pairs!G45</f>
        <v>D3-R3</v>
      </c>
      <c r="C44" t="str">
        <f>Pairs!H45</f>
        <v>D4-R4</v>
      </c>
      <c r="D44">
        <f ca="1">Pairs!O45</f>
        <v>1</v>
      </c>
      <c r="E44" s="1">
        <v>0</v>
      </c>
      <c r="H44" s="15" t="s">
        <v>62</v>
      </c>
      <c r="I44">
        <f t="shared" si="1"/>
        <v>0</v>
      </c>
      <c r="J44" s="11" t="s">
        <v>8</v>
      </c>
      <c r="K44">
        <f t="shared" si="2"/>
        <v>5.2631578947368418E-2</v>
      </c>
    </row>
    <row r="45" spans="1:11" x14ac:dyDescent="0.25">
      <c r="A45">
        <v>1</v>
      </c>
      <c r="B45" t="str">
        <f>Pairs!G46</f>
        <v>D3-R3</v>
      </c>
      <c r="C45" t="str">
        <f>Pairs!H46</f>
        <v>D5-R5</v>
      </c>
      <c r="D45">
        <f ca="1">Pairs!O46</f>
        <v>1</v>
      </c>
      <c r="E45" s="1">
        <v>0</v>
      </c>
      <c r="H45" s="15" t="s">
        <v>63</v>
      </c>
      <c r="I45">
        <f t="shared" si="1"/>
        <v>0</v>
      </c>
      <c r="J45" s="11" t="s">
        <v>8</v>
      </c>
      <c r="K45">
        <f t="shared" si="2"/>
        <v>5.2631578947368418E-2</v>
      </c>
    </row>
    <row r="46" spans="1:11" x14ac:dyDescent="0.25">
      <c r="A46">
        <v>1</v>
      </c>
      <c r="B46" t="str">
        <f>Pairs!G47</f>
        <v>D3-R3</v>
      </c>
      <c r="C46" t="str">
        <f>Pairs!H47</f>
        <v>D6-R6</v>
      </c>
      <c r="D46">
        <f ca="1">Pairs!O47</f>
        <v>1</v>
      </c>
      <c r="E46" s="1">
        <v>0</v>
      </c>
    </row>
    <row r="47" spans="1:11" x14ac:dyDescent="0.25">
      <c r="A47">
        <v>1</v>
      </c>
      <c r="B47" t="str">
        <f>Pairs!G48</f>
        <v>D3-R3</v>
      </c>
      <c r="C47" t="str">
        <f>Pairs!H48</f>
        <v>D7-R7</v>
      </c>
      <c r="D47">
        <f ca="1">Pairs!O48</f>
        <v>1</v>
      </c>
      <c r="E47" s="1">
        <v>0</v>
      </c>
    </row>
    <row r="48" spans="1:11" x14ac:dyDescent="0.25">
      <c r="A48">
        <v>1</v>
      </c>
      <c r="B48" t="str">
        <f>Pairs!G49</f>
        <v>D3-R3</v>
      </c>
      <c r="C48" t="str">
        <f>Pairs!H49</f>
        <v>D8-R8</v>
      </c>
      <c r="D48">
        <f ca="1">Pairs!O49</f>
        <v>1</v>
      </c>
      <c r="E48" s="1">
        <v>0</v>
      </c>
    </row>
    <row r="49" spans="1:5" x14ac:dyDescent="0.25">
      <c r="A49">
        <v>1</v>
      </c>
      <c r="B49" t="str">
        <f>Pairs!G50</f>
        <v>D3-R3</v>
      </c>
      <c r="C49" t="str">
        <f>Pairs!H50</f>
        <v>D9-R9</v>
      </c>
      <c r="D49">
        <f ca="1">Pairs!O50</f>
        <v>1</v>
      </c>
      <c r="E49" s="1">
        <v>0</v>
      </c>
    </row>
    <row r="50" spans="1:5" x14ac:dyDescent="0.25">
      <c r="A50">
        <v>1</v>
      </c>
      <c r="B50" t="str">
        <f>Pairs!G51</f>
        <v>D3-R3</v>
      </c>
      <c r="C50" t="str">
        <f>Pairs!H51</f>
        <v>D10-R10</v>
      </c>
      <c r="D50">
        <f ca="1">Pairs!O51</f>
        <v>1</v>
      </c>
      <c r="E50" s="1">
        <v>0</v>
      </c>
    </row>
    <row r="51" spans="1:5" x14ac:dyDescent="0.25">
      <c r="A51">
        <v>1</v>
      </c>
      <c r="B51" t="str">
        <f>Pairs!G52</f>
        <v>D3-R3</v>
      </c>
      <c r="C51" t="str">
        <f>Pairs!H52</f>
        <v>D11-R11</v>
      </c>
      <c r="D51">
        <f ca="1">Pairs!O52</f>
        <v>1</v>
      </c>
      <c r="E51" s="1">
        <v>0</v>
      </c>
    </row>
    <row r="52" spans="1:5" x14ac:dyDescent="0.25">
      <c r="A52">
        <v>1</v>
      </c>
      <c r="B52" t="str">
        <f>Pairs!G53</f>
        <v>D3-R3</v>
      </c>
      <c r="C52" t="str">
        <f>Pairs!H53</f>
        <v>D12-R12</v>
      </c>
      <c r="D52">
        <f ca="1">Pairs!O53</f>
        <v>1</v>
      </c>
      <c r="E52" s="1">
        <v>0</v>
      </c>
    </row>
    <row r="53" spans="1:5" x14ac:dyDescent="0.25">
      <c r="A53">
        <v>1</v>
      </c>
      <c r="B53" t="str">
        <f>Pairs!G54</f>
        <v>D3-R3</v>
      </c>
      <c r="C53" t="str">
        <f>Pairs!H54</f>
        <v>D13-R13</v>
      </c>
      <c r="D53">
        <f ca="1">Pairs!O54</f>
        <v>1</v>
      </c>
      <c r="E53" s="1">
        <v>0</v>
      </c>
    </row>
    <row r="54" spans="1:5" x14ac:dyDescent="0.25">
      <c r="A54">
        <v>1</v>
      </c>
      <c r="B54" t="str">
        <f>Pairs!G55</f>
        <v>D3-R3</v>
      </c>
      <c r="C54" t="str">
        <f>Pairs!H55</f>
        <v>D14-R14</v>
      </c>
      <c r="D54">
        <f ca="1">Pairs!O55</f>
        <v>1</v>
      </c>
      <c r="E54" s="1">
        <v>0</v>
      </c>
    </row>
    <row r="55" spans="1:5" x14ac:dyDescent="0.25">
      <c r="A55">
        <v>1</v>
      </c>
      <c r="B55" t="str">
        <f>Pairs!G56</f>
        <v>D3-R3</v>
      </c>
      <c r="C55" t="str">
        <f>Pairs!H56</f>
        <v>D15-R15</v>
      </c>
      <c r="D55">
        <f ca="1">Pairs!O56</f>
        <v>1</v>
      </c>
      <c r="E55" s="1">
        <v>0</v>
      </c>
    </row>
    <row r="56" spans="1:5" x14ac:dyDescent="0.25">
      <c r="A56">
        <v>1</v>
      </c>
      <c r="B56" t="str">
        <f>Pairs!G57</f>
        <v>D3-R3</v>
      </c>
      <c r="C56" t="str">
        <f>Pairs!H57</f>
        <v>D16-R16</v>
      </c>
      <c r="D56">
        <f ca="1">Pairs!O57</f>
        <v>1</v>
      </c>
      <c r="E56" s="1">
        <v>0</v>
      </c>
    </row>
    <row r="57" spans="1:5" x14ac:dyDescent="0.25">
      <c r="A57">
        <v>1</v>
      </c>
      <c r="B57" t="str">
        <f>Pairs!G58</f>
        <v>D3-R3</v>
      </c>
      <c r="C57" t="str">
        <f>Pairs!H58</f>
        <v>D17-R17</v>
      </c>
      <c r="D57">
        <f ca="1">Pairs!O58</f>
        <v>1</v>
      </c>
      <c r="E57" s="1">
        <v>0</v>
      </c>
    </row>
    <row r="58" spans="1:5" x14ac:dyDescent="0.25">
      <c r="A58">
        <v>1</v>
      </c>
      <c r="B58" t="str">
        <f>Pairs!G59</f>
        <v>D3-R3</v>
      </c>
      <c r="C58" t="str">
        <f>Pairs!H59</f>
        <v>D18-R18</v>
      </c>
      <c r="D58">
        <f ca="1">Pairs!O59</f>
        <v>1</v>
      </c>
      <c r="E58" s="1">
        <v>0</v>
      </c>
    </row>
    <row r="59" spans="1:5" x14ac:dyDescent="0.25">
      <c r="A59">
        <v>1</v>
      </c>
      <c r="B59" t="str">
        <f>Pairs!G60</f>
        <v>D3-R3</v>
      </c>
      <c r="C59" t="str">
        <f>Pairs!H60</f>
        <v>D19-R19</v>
      </c>
      <c r="D59">
        <f ca="1">Pairs!O60</f>
        <v>1</v>
      </c>
      <c r="E59" s="1">
        <v>0</v>
      </c>
    </row>
    <row r="60" spans="1:5" x14ac:dyDescent="0.25">
      <c r="A60">
        <v>1</v>
      </c>
      <c r="B60" t="str">
        <f>Pairs!G61</f>
        <v>D3-R3</v>
      </c>
      <c r="C60" t="str">
        <f>Pairs!H61</f>
        <v>D20-R20</v>
      </c>
      <c r="D60">
        <f ca="1">Pairs!O61</f>
        <v>1</v>
      </c>
      <c r="E60" s="1">
        <v>0</v>
      </c>
    </row>
    <row r="61" spans="1:5" x14ac:dyDescent="0.25">
      <c r="A61">
        <v>1</v>
      </c>
      <c r="B61" t="str">
        <f>Pairs!G62</f>
        <v>D4-R4</v>
      </c>
      <c r="C61" t="str">
        <f>Pairs!H62</f>
        <v>D1-R1</v>
      </c>
      <c r="D61">
        <f ca="1">Pairs!O62</f>
        <v>0</v>
      </c>
      <c r="E61" s="1">
        <v>0</v>
      </c>
    </row>
    <row r="62" spans="1:5" x14ac:dyDescent="0.25">
      <c r="A62">
        <v>1</v>
      </c>
      <c r="B62" t="str">
        <f>Pairs!G63</f>
        <v>D4-R4</v>
      </c>
      <c r="C62" t="str">
        <f>Pairs!H63</f>
        <v>D2-R2</v>
      </c>
      <c r="D62">
        <f ca="1">Pairs!O63</f>
        <v>1</v>
      </c>
      <c r="E62" s="1">
        <v>0</v>
      </c>
    </row>
    <row r="63" spans="1:5" x14ac:dyDescent="0.25">
      <c r="A63">
        <v>1</v>
      </c>
      <c r="B63" t="str">
        <f>Pairs!G64</f>
        <v>D4-R4</v>
      </c>
      <c r="C63" t="str">
        <f>Pairs!H64</f>
        <v>D3-R3</v>
      </c>
      <c r="D63">
        <f ca="1">Pairs!O64</f>
        <v>0</v>
      </c>
      <c r="E63" s="1">
        <v>0</v>
      </c>
    </row>
    <row r="64" spans="1:5" x14ac:dyDescent="0.25">
      <c r="A64">
        <v>1</v>
      </c>
      <c r="B64" t="str">
        <f>Pairs!G65</f>
        <v>D4-R4</v>
      </c>
      <c r="C64" t="str">
        <f>Pairs!H65</f>
        <v>D5-R5</v>
      </c>
      <c r="D64">
        <f ca="1">Pairs!O65</f>
        <v>1</v>
      </c>
      <c r="E64" s="1">
        <v>0</v>
      </c>
    </row>
    <row r="65" spans="1:5" x14ac:dyDescent="0.25">
      <c r="A65">
        <v>1</v>
      </c>
      <c r="B65" t="str">
        <f>Pairs!G66</f>
        <v>D4-R4</v>
      </c>
      <c r="C65" t="str">
        <f>Pairs!H66</f>
        <v>D6-R6</v>
      </c>
      <c r="D65">
        <f ca="1">Pairs!O66</f>
        <v>1</v>
      </c>
      <c r="E65" s="1">
        <v>0</v>
      </c>
    </row>
    <row r="66" spans="1:5" x14ac:dyDescent="0.25">
      <c r="A66">
        <v>1</v>
      </c>
      <c r="B66" t="str">
        <f>Pairs!G67</f>
        <v>D4-R4</v>
      </c>
      <c r="C66" t="str">
        <f>Pairs!H67</f>
        <v>D7-R7</v>
      </c>
      <c r="D66">
        <f ca="1">Pairs!O67</f>
        <v>0</v>
      </c>
      <c r="E66" s="1">
        <v>0</v>
      </c>
    </row>
    <row r="67" spans="1:5" x14ac:dyDescent="0.25">
      <c r="A67">
        <v>1</v>
      </c>
      <c r="B67" t="str">
        <f>Pairs!G68</f>
        <v>D4-R4</v>
      </c>
      <c r="C67" t="str">
        <f>Pairs!H68</f>
        <v>D8-R8</v>
      </c>
      <c r="D67">
        <f ca="1">Pairs!O68</f>
        <v>0</v>
      </c>
      <c r="E67" s="1">
        <v>0</v>
      </c>
    </row>
    <row r="68" spans="1:5" x14ac:dyDescent="0.25">
      <c r="A68">
        <v>1</v>
      </c>
      <c r="B68" t="str">
        <f>Pairs!G69</f>
        <v>D4-R4</v>
      </c>
      <c r="C68" t="str">
        <f>Pairs!H69</f>
        <v>D9-R9</v>
      </c>
      <c r="D68">
        <f ca="1">Pairs!O69</f>
        <v>1</v>
      </c>
      <c r="E68" s="1">
        <v>0</v>
      </c>
    </row>
    <row r="69" spans="1:5" x14ac:dyDescent="0.25">
      <c r="A69">
        <v>1</v>
      </c>
      <c r="B69" t="str">
        <f>Pairs!G70</f>
        <v>D4-R4</v>
      </c>
      <c r="C69" t="str">
        <f>Pairs!H70</f>
        <v>D10-R10</v>
      </c>
      <c r="D69">
        <f ca="1">Pairs!O70</f>
        <v>1</v>
      </c>
      <c r="E69" s="1">
        <v>0</v>
      </c>
    </row>
    <row r="70" spans="1:5" x14ac:dyDescent="0.25">
      <c r="A70">
        <v>1</v>
      </c>
      <c r="B70" t="str">
        <f>Pairs!G71</f>
        <v>D4-R4</v>
      </c>
      <c r="C70" t="str">
        <f>Pairs!H71</f>
        <v>D11-R11</v>
      </c>
      <c r="D70">
        <f ca="1">Pairs!O71</f>
        <v>1</v>
      </c>
      <c r="E70" s="1">
        <v>0</v>
      </c>
    </row>
    <row r="71" spans="1:5" x14ac:dyDescent="0.25">
      <c r="A71">
        <v>1</v>
      </c>
      <c r="B71" t="str">
        <f>Pairs!G72</f>
        <v>D4-R4</v>
      </c>
      <c r="C71" t="str">
        <f>Pairs!H72</f>
        <v>D12-R12</v>
      </c>
      <c r="D71">
        <f ca="1">Pairs!O72</f>
        <v>0</v>
      </c>
      <c r="E71" s="1">
        <v>0</v>
      </c>
    </row>
    <row r="72" spans="1:5" x14ac:dyDescent="0.25">
      <c r="A72">
        <v>1</v>
      </c>
      <c r="B72" t="str">
        <f>Pairs!G73</f>
        <v>D4-R4</v>
      </c>
      <c r="C72" t="str">
        <f>Pairs!H73</f>
        <v>D13-R13</v>
      </c>
      <c r="D72">
        <f ca="1">Pairs!O73</f>
        <v>1</v>
      </c>
      <c r="E72" s="1">
        <v>0</v>
      </c>
    </row>
    <row r="73" spans="1:5" x14ac:dyDescent="0.25">
      <c r="A73">
        <v>1</v>
      </c>
      <c r="B73" t="str">
        <f>Pairs!G74</f>
        <v>D4-R4</v>
      </c>
      <c r="C73" t="str">
        <f>Pairs!H74</f>
        <v>D14-R14</v>
      </c>
      <c r="D73">
        <f ca="1">Pairs!O74</f>
        <v>0</v>
      </c>
      <c r="E73" s="1">
        <v>0</v>
      </c>
    </row>
    <row r="74" spans="1:5" x14ac:dyDescent="0.25">
      <c r="A74">
        <v>1</v>
      </c>
      <c r="B74" t="str">
        <f>Pairs!G75</f>
        <v>D4-R4</v>
      </c>
      <c r="C74" t="str">
        <f>Pairs!H75</f>
        <v>D15-R15</v>
      </c>
      <c r="D74">
        <f ca="1">Pairs!O75</f>
        <v>0</v>
      </c>
      <c r="E74" s="1">
        <v>0</v>
      </c>
    </row>
    <row r="75" spans="1:5" x14ac:dyDescent="0.25">
      <c r="A75">
        <v>1</v>
      </c>
      <c r="B75" t="str">
        <f>Pairs!G76</f>
        <v>D4-R4</v>
      </c>
      <c r="C75" t="str">
        <f>Pairs!H76</f>
        <v>D16-R16</v>
      </c>
      <c r="D75">
        <f ca="1">Pairs!O76</f>
        <v>0</v>
      </c>
      <c r="E75" s="1">
        <v>0</v>
      </c>
    </row>
    <row r="76" spans="1:5" x14ac:dyDescent="0.25">
      <c r="A76">
        <v>1</v>
      </c>
      <c r="B76" t="str">
        <f>Pairs!G77</f>
        <v>D4-R4</v>
      </c>
      <c r="C76" t="str">
        <f>Pairs!H77</f>
        <v>D17-R17</v>
      </c>
      <c r="D76">
        <f ca="1">Pairs!O77</f>
        <v>0</v>
      </c>
      <c r="E76" s="1">
        <v>0</v>
      </c>
    </row>
    <row r="77" spans="1:5" x14ac:dyDescent="0.25">
      <c r="A77">
        <v>1</v>
      </c>
      <c r="B77" t="str">
        <f>Pairs!G78</f>
        <v>D4-R4</v>
      </c>
      <c r="C77" t="str">
        <f>Pairs!H78</f>
        <v>D18-R18</v>
      </c>
      <c r="D77">
        <f ca="1">Pairs!O78</f>
        <v>1</v>
      </c>
      <c r="E77" s="1">
        <v>0</v>
      </c>
    </row>
    <row r="78" spans="1:5" x14ac:dyDescent="0.25">
      <c r="A78">
        <v>1</v>
      </c>
      <c r="B78" t="str">
        <f>Pairs!G79</f>
        <v>D4-R4</v>
      </c>
      <c r="C78" t="str">
        <f>Pairs!H79</f>
        <v>D19-R19</v>
      </c>
      <c r="D78">
        <f ca="1">Pairs!O79</f>
        <v>0</v>
      </c>
      <c r="E78" s="1">
        <v>0</v>
      </c>
    </row>
    <row r="79" spans="1:5" x14ac:dyDescent="0.25">
      <c r="A79">
        <v>1</v>
      </c>
      <c r="B79" t="str">
        <f>Pairs!G80</f>
        <v>D4-R4</v>
      </c>
      <c r="C79" t="str">
        <f>Pairs!H80</f>
        <v>D20-R20</v>
      </c>
      <c r="D79">
        <f ca="1">Pairs!O80</f>
        <v>1</v>
      </c>
      <c r="E79" s="1">
        <v>0</v>
      </c>
    </row>
    <row r="80" spans="1:5" x14ac:dyDescent="0.25">
      <c r="A80">
        <v>1</v>
      </c>
      <c r="B80" t="str">
        <f>Pairs!G81</f>
        <v>D5-R5</v>
      </c>
      <c r="C80" t="str">
        <f>Pairs!H81</f>
        <v>D1-R1</v>
      </c>
      <c r="D80">
        <f ca="1">Pairs!O81</f>
        <v>0</v>
      </c>
      <c r="E80" s="1">
        <v>0</v>
      </c>
    </row>
    <row r="81" spans="1:5" x14ac:dyDescent="0.25">
      <c r="A81">
        <v>1</v>
      </c>
      <c r="B81" t="str">
        <f>Pairs!G82</f>
        <v>D5-R5</v>
      </c>
      <c r="C81" t="str">
        <f>Pairs!H82</f>
        <v>D2-R2</v>
      </c>
      <c r="D81">
        <f ca="1">Pairs!O82</f>
        <v>1</v>
      </c>
      <c r="E81" s="1">
        <v>0</v>
      </c>
    </row>
    <row r="82" spans="1:5" x14ac:dyDescent="0.25">
      <c r="A82">
        <v>1</v>
      </c>
      <c r="B82" t="str">
        <f>Pairs!G83</f>
        <v>D5-R5</v>
      </c>
      <c r="C82" t="str">
        <f>Pairs!H83</f>
        <v>D3-R3</v>
      </c>
      <c r="D82">
        <f ca="1">Pairs!O83</f>
        <v>0</v>
      </c>
      <c r="E82" s="1">
        <v>0</v>
      </c>
    </row>
    <row r="83" spans="1:5" x14ac:dyDescent="0.25">
      <c r="A83">
        <v>1</v>
      </c>
      <c r="B83" t="str">
        <f>Pairs!G84</f>
        <v>D5-R5</v>
      </c>
      <c r="C83" t="str">
        <f>Pairs!H84</f>
        <v>D4-R4</v>
      </c>
      <c r="D83">
        <f ca="1">Pairs!O84</f>
        <v>0</v>
      </c>
      <c r="E83" s="1">
        <v>0</v>
      </c>
    </row>
    <row r="84" spans="1:5" x14ac:dyDescent="0.25">
      <c r="A84">
        <v>1</v>
      </c>
      <c r="B84" t="str">
        <f>Pairs!G85</f>
        <v>D5-R5</v>
      </c>
      <c r="C84" t="str">
        <f>Pairs!H85</f>
        <v>D6-R6</v>
      </c>
      <c r="D84">
        <f ca="1">Pairs!O85</f>
        <v>1</v>
      </c>
      <c r="E84" s="1">
        <v>0</v>
      </c>
    </row>
    <row r="85" spans="1:5" x14ac:dyDescent="0.25">
      <c r="A85">
        <v>1</v>
      </c>
      <c r="B85" t="str">
        <f>Pairs!G86</f>
        <v>D5-R5</v>
      </c>
      <c r="C85" t="str">
        <f>Pairs!H86</f>
        <v>D7-R7</v>
      </c>
      <c r="D85">
        <f ca="1">Pairs!O86</f>
        <v>0</v>
      </c>
      <c r="E85" s="1">
        <v>0</v>
      </c>
    </row>
    <row r="86" spans="1:5" x14ac:dyDescent="0.25">
      <c r="A86">
        <v>1</v>
      </c>
      <c r="B86" t="str">
        <f>Pairs!G87</f>
        <v>D5-R5</v>
      </c>
      <c r="C86" t="str">
        <f>Pairs!H87</f>
        <v>D8-R8</v>
      </c>
      <c r="D86">
        <f ca="1">Pairs!O87</f>
        <v>0</v>
      </c>
      <c r="E86" s="1">
        <v>0</v>
      </c>
    </row>
    <row r="87" spans="1:5" x14ac:dyDescent="0.25">
      <c r="A87">
        <v>1</v>
      </c>
      <c r="B87" t="str">
        <f>Pairs!G88</f>
        <v>D5-R5</v>
      </c>
      <c r="C87" t="str">
        <f>Pairs!H88</f>
        <v>D9-R9</v>
      </c>
      <c r="D87">
        <f ca="1">Pairs!O88</f>
        <v>0</v>
      </c>
      <c r="E87" s="1">
        <v>0</v>
      </c>
    </row>
    <row r="88" spans="1:5" x14ac:dyDescent="0.25">
      <c r="A88">
        <v>1</v>
      </c>
      <c r="B88" t="str">
        <f>Pairs!G89</f>
        <v>D5-R5</v>
      </c>
      <c r="C88" t="str">
        <f>Pairs!H89</f>
        <v>D10-R10</v>
      </c>
      <c r="D88">
        <f ca="1">Pairs!O89</f>
        <v>0</v>
      </c>
      <c r="E88" s="1">
        <v>0</v>
      </c>
    </row>
    <row r="89" spans="1:5" x14ac:dyDescent="0.25">
      <c r="A89">
        <v>1</v>
      </c>
      <c r="B89" t="str">
        <f>Pairs!G90</f>
        <v>D5-R5</v>
      </c>
      <c r="C89" t="str">
        <f>Pairs!H90</f>
        <v>D11-R11</v>
      </c>
      <c r="D89">
        <f ca="1">Pairs!O90</f>
        <v>1</v>
      </c>
      <c r="E89" s="1">
        <v>0</v>
      </c>
    </row>
    <row r="90" spans="1:5" x14ac:dyDescent="0.25">
      <c r="A90">
        <v>1</v>
      </c>
      <c r="B90" t="str">
        <f>Pairs!G91</f>
        <v>D5-R5</v>
      </c>
      <c r="C90" t="str">
        <f>Pairs!H91</f>
        <v>D12-R12</v>
      </c>
      <c r="D90">
        <f ca="1">Pairs!O91</f>
        <v>0</v>
      </c>
      <c r="E90" s="1">
        <v>0</v>
      </c>
    </row>
    <row r="91" spans="1:5" x14ac:dyDescent="0.25">
      <c r="A91">
        <v>1</v>
      </c>
      <c r="B91" t="str">
        <f>Pairs!G92</f>
        <v>D5-R5</v>
      </c>
      <c r="C91" t="str">
        <f>Pairs!H92</f>
        <v>D13-R13</v>
      </c>
      <c r="D91">
        <f ca="1">Pairs!O92</f>
        <v>1</v>
      </c>
      <c r="E91" s="1">
        <v>0</v>
      </c>
    </row>
    <row r="92" spans="1:5" x14ac:dyDescent="0.25">
      <c r="A92">
        <v>1</v>
      </c>
      <c r="B92" t="str">
        <f>Pairs!G93</f>
        <v>D5-R5</v>
      </c>
      <c r="C92" t="str">
        <f>Pairs!H93</f>
        <v>D14-R14</v>
      </c>
      <c r="D92">
        <f ca="1">Pairs!O93</f>
        <v>0</v>
      </c>
      <c r="E92" s="1">
        <v>0</v>
      </c>
    </row>
    <row r="93" spans="1:5" x14ac:dyDescent="0.25">
      <c r="A93">
        <v>1</v>
      </c>
      <c r="B93" t="str">
        <f>Pairs!G94</f>
        <v>D5-R5</v>
      </c>
      <c r="C93" t="str">
        <f>Pairs!H94</f>
        <v>D15-R15</v>
      </c>
      <c r="D93">
        <f ca="1">Pairs!O94</f>
        <v>0</v>
      </c>
      <c r="E93" s="1">
        <v>0</v>
      </c>
    </row>
    <row r="94" spans="1:5" x14ac:dyDescent="0.25">
      <c r="A94">
        <v>1</v>
      </c>
      <c r="B94" t="str">
        <f>Pairs!G95</f>
        <v>D5-R5</v>
      </c>
      <c r="C94" t="str">
        <f>Pairs!H95</f>
        <v>D16-R16</v>
      </c>
      <c r="D94">
        <f ca="1">Pairs!O95</f>
        <v>0</v>
      </c>
      <c r="E94" s="1">
        <v>0</v>
      </c>
    </row>
    <row r="95" spans="1:5" x14ac:dyDescent="0.25">
      <c r="A95">
        <v>1</v>
      </c>
      <c r="B95" t="str">
        <f>Pairs!G96</f>
        <v>D5-R5</v>
      </c>
      <c r="C95" t="str">
        <f>Pairs!H96</f>
        <v>D17-R17</v>
      </c>
      <c r="D95">
        <f ca="1">Pairs!O96</f>
        <v>0</v>
      </c>
      <c r="E95" s="1">
        <v>0</v>
      </c>
    </row>
    <row r="96" spans="1:5" x14ac:dyDescent="0.25">
      <c r="A96">
        <v>1</v>
      </c>
      <c r="B96" t="str">
        <f>Pairs!G97</f>
        <v>D5-R5</v>
      </c>
      <c r="C96" t="str">
        <f>Pairs!H97</f>
        <v>D18-R18</v>
      </c>
      <c r="D96">
        <f ca="1">Pairs!O97</f>
        <v>0</v>
      </c>
      <c r="E96" s="1">
        <v>0</v>
      </c>
    </row>
    <row r="97" spans="1:5" x14ac:dyDescent="0.25">
      <c r="A97">
        <v>1</v>
      </c>
      <c r="B97" t="str">
        <f>Pairs!G98</f>
        <v>D5-R5</v>
      </c>
      <c r="C97" t="str">
        <f>Pairs!H98</f>
        <v>D19-R19</v>
      </c>
      <c r="D97">
        <f ca="1">Pairs!O98</f>
        <v>0</v>
      </c>
      <c r="E97" s="1">
        <v>0</v>
      </c>
    </row>
    <row r="98" spans="1:5" x14ac:dyDescent="0.25">
      <c r="A98">
        <v>1</v>
      </c>
      <c r="B98" t="str">
        <f>Pairs!G99</f>
        <v>D5-R5</v>
      </c>
      <c r="C98" t="str">
        <f>Pairs!H99</f>
        <v>D20-R20</v>
      </c>
      <c r="D98">
        <f ca="1">Pairs!O99</f>
        <v>0</v>
      </c>
      <c r="E98" s="1">
        <v>0</v>
      </c>
    </row>
    <row r="99" spans="1:5" x14ac:dyDescent="0.25">
      <c r="A99">
        <v>1</v>
      </c>
      <c r="B99" t="str">
        <f>Pairs!G100</f>
        <v>D6-R6</v>
      </c>
      <c r="C99" t="str">
        <f>Pairs!H100</f>
        <v>D1-R1</v>
      </c>
      <c r="D99">
        <f ca="1">Pairs!O100</f>
        <v>0</v>
      </c>
      <c r="E99" s="1">
        <v>0</v>
      </c>
    </row>
    <row r="100" spans="1:5" x14ac:dyDescent="0.25">
      <c r="A100">
        <v>1</v>
      </c>
      <c r="B100" t="str">
        <f>Pairs!G101</f>
        <v>D6-R6</v>
      </c>
      <c r="C100" t="str">
        <f>Pairs!H101</f>
        <v>D2-R2</v>
      </c>
      <c r="D100">
        <f ca="1">Pairs!O101</f>
        <v>1</v>
      </c>
      <c r="E100" s="1">
        <v>0</v>
      </c>
    </row>
    <row r="101" spans="1:5" x14ac:dyDescent="0.25">
      <c r="A101">
        <v>1</v>
      </c>
      <c r="B101" t="str">
        <f>Pairs!G102</f>
        <v>D6-R6</v>
      </c>
      <c r="C101" t="str">
        <f>Pairs!H102</f>
        <v>D3-R3</v>
      </c>
      <c r="D101">
        <f ca="1">Pairs!O102</f>
        <v>0</v>
      </c>
      <c r="E101" s="1">
        <v>0</v>
      </c>
    </row>
    <row r="102" spans="1:5" x14ac:dyDescent="0.25">
      <c r="A102">
        <v>1</v>
      </c>
      <c r="B102" t="str">
        <f>Pairs!G103</f>
        <v>D6-R6</v>
      </c>
      <c r="C102" t="str">
        <f>Pairs!H103</f>
        <v>D4-R4</v>
      </c>
      <c r="D102">
        <f ca="1">Pairs!O103</f>
        <v>0</v>
      </c>
      <c r="E102" s="1">
        <v>0</v>
      </c>
    </row>
    <row r="103" spans="1:5" x14ac:dyDescent="0.25">
      <c r="A103">
        <v>1</v>
      </c>
      <c r="B103" t="str">
        <f>Pairs!G104</f>
        <v>D6-R6</v>
      </c>
      <c r="C103" t="str">
        <f>Pairs!H104</f>
        <v>D5-R5</v>
      </c>
      <c r="D103">
        <f ca="1">Pairs!O104</f>
        <v>1</v>
      </c>
      <c r="E103" s="1">
        <v>0</v>
      </c>
    </row>
    <row r="104" spans="1:5" x14ac:dyDescent="0.25">
      <c r="A104">
        <v>1</v>
      </c>
      <c r="B104" t="str">
        <f>Pairs!G105</f>
        <v>D6-R6</v>
      </c>
      <c r="C104" t="str">
        <f>Pairs!H105</f>
        <v>D7-R7</v>
      </c>
      <c r="D104">
        <f ca="1">Pairs!O105</f>
        <v>0</v>
      </c>
      <c r="E104" s="1">
        <v>0</v>
      </c>
    </row>
    <row r="105" spans="1:5" x14ac:dyDescent="0.25">
      <c r="A105">
        <v>1</v>
      </c>
      <c r="B105" t="str">
        <f>Pairs!G106</f>
        <v>D6-R6</v>
      </c>
      <c r="C105" t="str">
        <f>Pairs!H106</f>
        <v>D8-R8</v>
      </c>
      <c r="D105">
        <f ca="1">Pairs!O106</f>
        <v>0</v>
      </c>
      <c r="E105" s="1">
        <v>0</v>
      </c>
    </row>
    <row r="106" spans="1:5" x14ac:dyDescent="0.25">
      <c r="A106">
        <v>1</v>
      </c>
      <c r="B106" t="str">
        <f>Pairs!G107</f>
        <v>D6-R6</v>
      </c>
      <c r="C106" t="str">
        <f>Pairs!H107</f>
        <v>D9-R9</v>
      </c>
      <c r="D106">
        <f ca="1">Pairs!O107</f>
        <v>0</v>
      </c>
      <c r="E106" s="1">
        <v>0</v>
      </c>
    </row>
    <row r="107" spans="1:5" x14ac:dyDescent="0.25">
      <c r="A107">
        <v>1</v>
      </c>
      <c r="B107" t="str">
        <f>Pairs!G108</f>
        <v>D6-R6</v>
      </c>
      <c r="C107" t="str">
        <f>Pairs!H108</f>
        <v>D10-R10</v>
      </c>
      <c r="D107">
        <f ca="1">Pairs!O108</f>
        <v>0</v>
      </c>
      <c r="E107" s="1">
        <v>0</v>
      </c>
    </row>
    <row r="108" spans="1:5" x14ac:dyDescent="0.25">
      <c r="A108">
        <v>1</v>
      </c>
      <c r="B108" t="str">
        <f>Pairs!G109</f>
        <v>D6-R6</v>
      </c>
      <c r="C108" t="str">
        <f>Pairs!H109</f>
        <v>D11-R11</v>
      </c>
      <c r="D108">
        <f ca="1">Pairs!O109</f>
        <v>1</v>
      </c>
      <c r="E108" s="1">
        <v>0</v>
      </c>
    </row>
    <row r="109" spans="1:5" x14ac:dyDescent="0.25">
      <c r="A109">
        <v>1</v>
      </c>
      <c r="B109" t="str">
        <f>Pairs!G110</f>
        <v>D6-R6</v>
      </c>
      <c r="C109" t="str">
        <f>Pairs!H110</f>
        <v>D12-R12</v>
      </c>
      <c r="D109">
        <f ca="1">Pairs!O110</f>
        <v>0</v>
      </c>
      <c r="E109" s="1">
        <v>0</v>
      </c>
    </row>
    <row r="110" spans="1:5" x14ac:dyDescent="0.25">
      <c r="A110">
        <v>1</v>
      </c>
      <c r="B110" t="str">
        <f>Pairs!G111</f>
        <v>D6-R6</v>
      </c>
      <c r="C110" t="str">
        <f>Pairs!H111</f>
        <v>D13-R13</v>
      </c>
      <c r="D110">
        <f ca="1">Pairs!O111</f>
        <v>1</v>
      </c>
      <c r="E110" s="1">
        <v>0</v>
      </c>
    </row>
    <row r="111" spans="1:5" x14ac:dyDescent="0.25">
      <c r="A111">
        <v>1</v>
      </c>
      <c r="B111" t="str">
        <f>Pairs!G112</f>
        <v>D6-R6</v>
      </c>
      <c r="C111" t="str">
        <f>Pairs!H112</f>
        <v>D14-R14</v>
      </c>
      <c r="D111">
        <f ca="1">Pairs!O112</f>
        <v>0</v>
      </c>
      <c r="E111" s="1">
        <v>0</v>
      </c>
    </row>
    <row r="112" spans="1:5" x14ac:dyDescent="0.25">
      <c r="A112">
        <v>1</v>
      </c>
      <c r="B112" t="str">
        <f>Pairs!G113</f>
        <v>D6-R6</v>
      </c>
      <c r="C112" t="str">
        <f>Pairs!H113</f>
        <v>D15-R15</v>
      </c>
      <c r="D112">
        <f ca="1">Pairs!O113</f>
        <v>0</v>
      </c>
      <c r="E112" s="1">
        <v>0</v>
      </c>
    </row>
    <row r="113" spans="1:5" x14ac:dyDescent="0.25">
      <c r="A113">
        <v>1</v>
      </c>
      <c r="B113" t="str">
        <f>Pairs!G114</f>
        <v>D6-R6</v>
      </c>
      <c r="C113" t="str">
        <f>Pairs!H114</f>
        <v>D16-R16</v>
      </c>
      <c r="D113">
        <f ca="1">Pairs!O114</f>
        <v>0</v>
      </c>
      <c r="E113" s="1">
        <v>0</v>
      </c>
    </row>
    <row r="114" spans="1:5" x14ac:dyDescent="0.25">
      <c r="A114">
        <v>1</v>
      </c>
      <c r="B114" t="str">
        <f>Pairs!G115</f>
        <v>D6-R6</v>
      </c>
      <c r="C114" t="str">
        <f>Pairs!H115</f>
        <v>D17-R17</v>
      </c>
      <c r="D114">
        <f ca="1">Pairs!O115</f>
        <v>0</v>
      </c>
      <c r="E114" s="1">
        <v>0</v>
      </c>
    </row>
    <row r="115" spans="1:5" x14ac:dyDescent="0.25">
      <c r="A115">
        <v>1</v>
      </c>
      <c r="B115" t="str">
        <f>Pairs!G116</f>
        <v>D6-R6</v>
      </c>
      <c r="C115" t="str">
        <f>Pairs!H116</f>
        <v>D18-R18</v>
      </c>
      <c r="D115">
        <f ca="1">Pairs!O116</f>
        <v>0</v>
      </c>
      <c r="E115" s="1">
        <v>0</v>
      </c>
    </row>
    <row r="116" spans="1:5" x14ac:dyDescent="0.25">
      <c r="A116">
        <v>1</v>
      </c>
      <c r="B116" t="str">
        <f>Pairs!G117</f>
        <v>D6-R6</v>
      </c>
      <c r="C116" t="str">
        <f>Pairs!H117</f>
        <v>D19-R19</v>
      </c>
      <c r="D116">
        <f ca="1">Pairs!O117</f>
        <v>0</v>
      </c>
      <c r="E116" s="1">
        <v>0</v>
      </c>
    </row>
    <row r="117" spans="1:5" x14ac:dyDescent="0.25">
      <c r="A117">
        <v>1</v>
      </c>
      <c r="B117" t="str">
        <f>Pairs!G118</f>
        <v>D6-R6</v>
      </c>
      <c r="C117" t="str">
        <f>Pairs!H118</f>
        <v>D20-R20</v>
      </c>
      <c r="D117">
        <f ca="1">Pairs!O118</f>
        <v>1</v>
      </c>
      <c r="E117" s="1">
        <v>0</v>
      </c>
    </row>
    <row r="118" spans="1:5" x14ac:dyDescent="0.25">
      <c r="A118">
        <v>1</v>
      </c>
      <c r="B118" t="str">
        <f>Pairs!G119</f>
        <v>D7-R7</v>
      </c>
      <c r="C118" t="str">
        <f>Pairs!H119</f>
        <v>D1-R1</v>
      </c>
      <c r="D118">
        <f ca="1">Pairs!O119</f>
        <v>1</v>
      </c>
      <c r="E118" s="1">
        <v>0</v>
      </c>
    </row>
    <row r="119" spans="1:5" x14ac:dyDescent="0.25">
      <c r="A119">
        <v>1</v>
      </c>
      <c r="B119" t="str">
        <f>Pairs!G120</f>
        <v>D7-R7</v>
      </c>
      <c r="C119" t="str">
        <f>Pairs!H120</f>
        <v>D2-R2</v>
      </c>
      <c r="D119">
        <f ca="1">Pairs!O120</f>
        <v>1</v>
      </c>
      <c r="E119" s="1">
        <v>0</v>
      </c>
    </row>
    <row r="120" spans="1:5" x14ac:dyDescent="0.25">
      <c r="A120">
        <v>1</v>
      </c>
      <c r="B120" t="str">
        <f>Pairs!G121</f>
        <v>D7-R7</v>
      </c>
      <c r="C120" t="str">
        <f>Pairs!H121</f>
        <v>D3-R3</v>
      </c>
      <c r="D120">
        <f ca="1">Pairs!O121</f>
        <v>1</v>
      </c>
      <c r="E120" s="1">
        <v>0</v>
      </c>
    </row>
    <row r="121" spans="1:5" x14ac:dyDescent="0.25">
      <c r="A121">
        <v>1</v>
      </c>
      <c r="B121" t="str">
        <f>Pairs!G122</f>
        <v>D7-R7</v>
      </c>
      <c r="C121" t="str">
        <f>Pairs!H122</f>
        <v>D4-R4</v>
      </c>
      <c r="D121">
        <f ca="1">Pairs!O122</f>
        <v>1</v>
      </c>
      <c r="E121" s="1">
        <v>0</v>
      </c>
    </row>
    <row r="122" spans="1:5" x14ac:dyDescent="0.25">
      <c r="A122">
        <v>1</v>
      </c>
      <c r="B122" t="str">
        <f>Pairs!G123</f>
        <v>D7-R7</v>
      </c>
      <c r="C122" t="str">
        <f>Pairs!H123</f>
        <v>D5-R5</v>
      </c>
      <c r="D122">
        <f ca="1">Pairs!O123</f>
        <v>1</v>
      </c>
      <c r="E122" s="1">
        <v>0</v>
      </c>
    </row>
    <row r="123" spans="1:5" x14ac:dyDescent="0.25">
      <c r="A123">
        <v>1</v>
      </c>
      <c r="B123" t="str">
        <f>Pairs!G124</f>
        <v>D7-R7</v>
      </c>
      <c r="C123" t="str">
        <f>Pairs!H124</f>
        <v>D6-R6</v>
      </c>
      <c r="D123">
        <f ca="1">Pairs!O124</f>
        <v>1</v>
      </c>
      <c r="E123" s="1">
        <v>0</v>
      </c>
    </row>
    <row r="124" spans="1:5" x14ac:dyDescent="0.25">
      <c r="A124">
        <v>1</v>
      </c>
      <c r="B124" t="str">
        <f>Pairs!G125</f>
        <v>D7-R7</v>
      </c>
      <c r="C124" t="str">
        <f>Pairs!H125</f>
        <v>D8-R8</v>
      </c>
      <c r="D124">
        <f ca="1">Pairs!O125</f>
        <v>1</v>
      </c>
      <c r="E124" s="1">
        <v>0</v>
      </c>
    </row>
    <row r="125" spans="1:5" x14ac:dyDescent="0.25">
      <c r="A125">
        <v>1</v>
      </c>
      <c r="B125" t="str">
        <f>Pairs!G126</f>
        <v>D7-R7</v>
      </c>
      <c r="C125" t="str">
        <f>Pairs!H126</f>
        <v>D9-R9</v>
      </c>
      <c r="D125">
        <f ca="1">Pairs!O126</f>
        <v>1</v>
      </c>
      <c r="E125" s="1">
        <v>0</v>
      </c>
    </row>
    <row r="126" spans="1:5" x14ac:dyDescent="0.25">
      <c r="A126">
        <v>1</v>
      </c>
      <c r="B126" t="str">
        <f>Pairs!G127</f>
        <v>D7-R7</v>
      </c>
      <c r="C126" t="str">
        <f>Pairs!H127</f>
        <v>D10-R10</v>
      </c>
      <c r="D126">
        <f ca="1">Pairs!O127</f>
        <v>1</v>
      </c>
      <c r="E126" s="1">
        <v>0</v>
      </c>
    </row>
    <row r="127" spans="1:5" x14ac:dyDescent="0.25">
      <c r="A127">
        <v>1</v>
      </c>
      <c r="B127" t="str">
        <f>Pairs!G128</f>
        <v>D7-R7</v>
      </c>
      <c r="C127" t="str">
        <f>Pairs!H128</f>
        <v>D11-R11</v>
      </c>
      <c r="D127">
        <f ca="1">Pairs!O128</f>
        <v>1</v>
      </c>
      <c r="E127" s="1">
        <v>0</v>
      </c>
    </row>
    <row r="128" spans="1:5" x14ac:dyDescent="0.25">
      <c r="A128">
        <v>1</v>
      </c>
      <c r="B128" t="str">
        <f>Pairs!G129</f>
        <v>D7-R7</v>
      </c>
      <c r="C128" t="str">
        <f>Pairs!H129</f>
        <v>D12-R12</v>
      </c>
      <c r="D128">
        <f ca="1">Pairs!O129</f>
        <v>1</v>
      </c>
      <c r="E128" s="1">
        <v>0</v>
      </c>
    </row>
    <row r="129" spans="1:5" x14ac:dyDescent="0.25">
      <c r="A129">
        <v>1</v>
      </c>
      <c r="B129" t="str">
        <f>Pairs!G130</f>
        <v>D7-R7</v>
      </c>
      <c r="C129" t="str">
        <f>Pairs!H130</f>
        <v>D13-R13</v>
      </c>
      <c r="D129">
        <f ca="1">Pairs!O130</f>
        <v>1</v>
      </c>
      <c r="E129" s="1">
        <v>0</v>
      </c>
    </row>
    <row r="130" spans="1:5" x14ac:dyDescent="0.25">
      <c r="A130">
        <v>1</v>
      </c>
      <c r="B130" t="str">
        <f>Pairs!G131</f>
        <v>D7-R7</v>
      </c>
      <c r="C130" t="str">
        <f>Pairs!H131</f>
        <v>D14-R14</v>
      </c>
      <c r="D130">
        <f ca="1">Pairs!O131</f>
        <v>1</v>
      </c>
      <c r="E130" s="1">
        <v>0</v>
      </c>
    </row>
    <row r="131" spans="1:5" x14ac:dyDescent="0.25">
      <c r="A131">
        <v>1</v>
      </c>
      <c r="B131" t="str">
        <f>Pairs!G132</f>
        <v>D7-R7</v>
      </c>
      <c r="C131" t="str">
        <f>Pairs!H132</f>
        <v>D15-R15</v>
      </c>
      <c r="D131">
        <f ca="1">Pairs!O132</f>
        <v>1</v>
      </c>
      <c r="E131" s="1">
        <v>0</v>
      </c>
    </row>
    <row r="132" spans="1:5" x14ac:dyDescent="0.25">
      <c r="A132">
        <v>1</v>
      </c>
      <c r="B132" t="str">
        <f>Pairs!G133</f>
        <v>D7-R7</v>
      </c>
      <c r="C132" t="str">
        <f>Pairs!H133</f>
        <v>D16-R16</v>
      </c>
      <c r="D132">
        <f ca="1">Pairs!O133</f>
        <v>1</v>
      </c>
      <c r="E132" s="1">
        <v>0</v>
      </c>
    </row>
    <row r="133" spans="1:5" x14ac:dyDescent="0.25">
      <c r="A133">
        <v>1</v>
      </c>
      <c r="B133" t="str">
        <f>Pairs!G134</f>
        <v>D7-R7</v>
      </c>
      <c r="C133" t="str">
        <f>Pairs!H134</f>
        <v>D17-R17</v>
      </c>
      <c r="D133">
        <f ca="1">Pairs!O134</f>
        <v>1</v>
      </c>
      <c r="E133" s="1">
        <v>0</v>
      </c>
    </row>
    <row r="134" spans="1:5" x14ac:dyDescent="0.25">
      <c r="A134">
        <v>1</v>
      </c>
      <c r="B134" t="str">
        <f>Pairs!G135</f>
        <v>D7-R7</v>
      </c>
      <c r="C134" t="str">
        <f>Pairs!H135</f>
        <v>D18-R18</v>
      </c>
      <c r="D134">
        <f ca="1">Pairs!O135</f>
        <v>1</v>
      </c>
      <c r="E134" s="1">
        <v>0</v>
      </c>
    </row>
    <row r="135" spans="1:5" x14ac:dyDescent="0.25">
      <c r="A135">
        <v>1</v>
      </c>
      <c r="B135" t="str">
        <f>Pairs!G136</f>
        <v>D7-R7</v>
      </c>
      <c r="C135" t="str">
        <f>Pairs!H136</f>
        <v>D19-R19</v>
      </c>
      <c r="D135">
        <f ca="1">Pairs!O136</f>
        <v>1</v>
      </c>
      <c r="E135" s="1">
        <v>0</v>
      </c>
    </row>
    <row r="136" spans="1:5" x14ac:dyDescent="0.25">
      <c r="A136">
        <v>1</v>
      </c>
      <c r="B136" t="str">
        <f>Pairs!G137</f>
        <v>D7-R7</v>
      </c>
      <c r="C136" t="str">
        <f>Pairs!H137</f>
        <v>D20-R20</v>
      </c>
      <c r="D136">
        <f ca="1">Pairs!O137</f>
        <v>1</v>
      </c>
      <c r="E136" s="1">
        <v>0</v>
      </c>
    </row>
    <row r="137" spans="1:5" x14ac:dyDescent="0.25">
      <c r="A137">
        <v>1</v>
      </c>
      <c r="B137" t="str">
        <f>Pairs!G138</f>
        <v>D8-R8</v>
      </c>
      <c r="C137" t="str">
        <f>Pairs!H138</f>
        <v>D1-R1</v>
      </c>
      <c r="D137">
        <f ca="1">Pairs!O138</f>
        <v>0</v>
      </c>
      <c r="E137" s="1">
        <v>0</v>
      </c>
    </row>
    <row r="138" spans="1:5" x14ac:dyDescent="0.25">
      <c r="A138">
        <v>1</v>
      </c>
      <c r="B138" t="str">
        <f>Pairs!G139</f>
        <v>D8-R8</v>
      </c>
      <c r="C138" t="str">
        <f>Pairs!H139</f>
        <v>D2-R2</v>
      </c>
      <c r="D138">
        <f ca="1">Pairs!O139</f>
        <v>1</v>
      </c>
      <c r="E138" s="1">
        <v>0</v>
      </c>
    </row>
    <row r="139" spans="1:5" x14ac:dyDescent="0.25">
      <c r="A139">
        <v>1</v>
      </c>
      <c r="B139" t="str">
        <f>Pairs!G140</f>
        <v>D8-R8</v>
      </c>
      <c r="C139" t="str">
        <f>Pairs!H140</f>
        <v>D3-R3</v>
      </c>
      <c r="D139">
        <f ca="1">Pairs!O140</f>
        <v>1</v>
      </c>
      <c r="E139" s="1">
        <v>0</v>
      </c>
    </row>
    <row r="140" spans="1:5" x14ac:dyDescent="0.25">
      <c r="A140">
        <v>1</v>
      </c>
      <c r="B140" t="str">
        <f>Pairs!G141</f>
        <v>D8-R8</v>
      </c>
      <c r="C140" t="str">
        <f>Pairs!H141</f>
        <v>D4-R4</v>
      </c>
      <c r="D140">
        <f ca="1">Pairs!O141</f>
        <v>0</v>
      </c>
      <c r="E140" s="1">
        <v>0</v>
      </c>
    </row>
    <row r="141" spans="1:5" x14ac:dyDescent="0.25">
      <c r="A141">
        <v>1</v>
      </c>
      <c r="B141" t="str">
        <f>Pairs!G142</f>
        <v>D8-R8</v>
      </c>
      <c r="C141" t="str">
        <f>Pairs!H142</f>
        <v>D5-R5</v>
      </c>
      <c r="D141">
        <f ca="1">Pairs!O142</f>
        <v>1</v>
      </c>
      <c r="E141" s="1">
        <v>0</v>
      </c>
    </row>
    <row r="142" spans="1:5" x14ac:dyDescent="0.25">
      <c r="A142">
        <v>1</v>
      </c>
      <c r="B142" t="str">
        <f>Pairs!G143</f>
        <v>D8-R8</v>
      </c>
      <c r="C142" t="str">
        <f>Pairs!H143</f>
        <v>D6-R6</v>
      </c>
      <c r="D142">
        <f ca="1">Pairs!O143</f>
        <v>1</v>
      </c>
      <c r="E142" s="1">
        <v>0</v>
      </c>
    </row>
    <row r="143" spans="1:5" x14ac:dyDescent="0.25">
      <c r="A143">
        <v>1</v>
      </c>
      <c r="B143" t="str">
        <f>Pairs!G144</f>
        <v>D8-R8</v>
      </c>
      <c r="C143" t="str">
        <f>Pairs!H144</f>
        <v>D7-R7</v>
      </c>
      <c r="D143">
        <f ca="1">Pairs!O144</f>
        <v>0</v>
      </c>
      <c r="E143" s="1">
        <v>0</v>
      </c>
    </row>
    <row r="144" spans="1:5" x14ac:dyDescent="0.25">
      <c r="A144">
        <v>1</v>
      </c>
      <c r="B144" t="str">
        <f>Pairs!G145</f>
        <v>D8-R8</v>
      </c>
      <c r="C144" t="str">
        <f>Pairs!H145</f>
        <v>D9-R9</v>
      </c>
      <c r="D144">
        <f ca="1">Pairs!O145</f>
        <v>0</v>
      </c>
      <c r="E144" s="1">
        <v>0</v>
      </c>
    </row>
    <row r="145" spans="1:5" x14ac:dyDescent="0.25">
      <c r="A145">
        <v>1</v>
      </c>
      <c r="B145" t="str">
        <f>Pairs!G146</f>
        <v>D8-R8</v>
      </c>
      <c r="C145" t="str">
        <f>Pairs!H146</f>
        <v>D10-R10</v>
      </c>
      <c r="D145">
        <f ca="1">Pairs!O146</f>
        <v>0</v>
      </c>
      <c r="E145" s="1">
        <v>0</v>
      </c>
    </row>
    <row r="146" spans="1:5" x14ac:dyDescent="0.25">
      <c r="A146">
        <v>1</v>
      </c>
      <c r="B146" t="str">
        <f>Pairs!G147</f>
        <v>D8-R8</v>
      </c>
      <c r="C146" t="str">
        <f>Pairs!H147</f>
        <v>D11-R11</v>
      </c>
      <c r="D146">
        <f ca="1">Pairs!O147</f>
        <v>1</v>
      </c>
      <c r="E146" s="1">
        <v>0</v>
      </c>
    </row>
    <row r="147" spans="1:5" x14ac:dyDescent="0.25">
      <c r="A147">
        <v>1</v>
      </c>
      <c r="B147" t="str">
        <f>Pairs!G148</f>
        <v>D8-R8</v>
      </c>
      <c r="C147" t="str">
        <f>Pairs!H148</f>
        <v>D12-R12</v>
      </c>
      <c r="D147">
        <f ca="1">Pairs!O148</f>
        <v>1</v>
      </c>
      <c r="E147" s="1">
        <v>0</v>
      </c>
    </row>
    <row r="148" spans="1:5" x14ac:dyDescent="0.25">
      <c r="A148">
        <v>1</v>
      </c>
      <c r="B148" t="str">
        <f>Pairs!G149</f>
        <v>D8-R8</v>
      </c>
      <c r="C148" t="str">
        <f>Pairs!H149</f>
        <v>D13-R13</v>
      </c>
      <c r="D148">
        <f ca="1">Pairs!O149</f>
        <v>1</v>
      </c>
      <c r="E148" s="1">
        <v>0</v>
      </c>
    </row>
    <row r="149" spans="1:5" x14ac:dyDescent="0.25">
      <c r="A149">
        <v>1</v>
      </c>
      <c r="B149" t="str">
        <f>Pairs!G150</f>
        <v>D8-R8</v>
      </c>
      <c r="C149" t="str">
        <f>Pairs!H150</f>
        <v>D14-R14</v>
      </c>
      <c r="D149">
        <f ca="1">Pairs!O150</f>
        <v>1</v>
      </c>
      <c r="E149" s="1">
        <v>0</v>
      </c>
    </row>
    <row r="150" spans="1:5" x14ac:dyDescent="0.25">
      <c r="A150">
        <v>1</v>
      </c>
      <c r="B150" t="str">
        <f>Pairs!G151</f>
        <v>D8-R8</v>
      </c>
      <c r="C150" t="str">
        <f>Pairs!H151</f>
        <v>D15-R15</v>
      </c>
      <c r="D150">
        <f ca="1">Pairs!O151</f>
        <v>1</v>
      </c>
      <c r="E150" s="1">
        <v>0</v>
      </c>
    </row>
    <row r="151" spans="1:5" x14ac:dyDescent="0.25">
      <c r="A151">
        <v>1</v>
      </c>
      <c r="B151" t="str">
        <f>Pairs!G152</f>
        <v>D8-R8</v>
      </c>
      <c r="C151" t="str">
        <f>Pairs!H152</f>
        <v>D16-R16</v>
      </c>
      <c r="D151">
        <f ca="1">Pairs!O152</f>
        <v>1</v>
      </c>
      <c r="E151" s="1">
        <v>0</v>
      </c>
    </row>
    <row r="152" spans="1:5" x14ac:dyDescent="0.25">
      <c r="A152">
        <v>1</v>
      </c>
      <c r="B152" t="str">
        <f>Pairs!G153</f>
        <v>D8-R8</v>
      </c>
      <c r="C152" t="str">
        <f>Pairs!H153</f>
        <v>D17-R17</v>
      </c>
      <c r="D152">
        <f ca="1">Pairs!O153</f>
        <v>1</v>
      </c>
      <c r="E152" s="1">
        <v>0</v>
      </c>
    </row>
    <row r="153" spans="1:5" x14ac:dyDescent="0.25">
      <c r="A153">
        <v>1</v>
      </c>
      <c r="B153" t="str">
        <f>Pairs!G154</f>
        <v>D8-R8</v>
      </c>
      <c r="C153" t="str">
        <f>Pairs!H154</f>
        <v>D18-R18</v>
      </c>
      <c r="D153">
        <f ca="1">Pairs!O154</f>
        <v>0</v>
      </c>
      <c r="E153" s="1">
        <v>0</v>
      </c>
    </row>
    <row r="154" spans="1:5" x14ac:dyDescent="0.25">
      <c r="A154">
        <v>1</v>
      </c>
      <c r="B154" t="str">
        <f>Pairs!G155</f>
        <v>D8-R8</v>
      </c>
      <c r="C154" t="str">
        <f>Pairs!H155</f>
        <v>D19-R19</v>
      </c>
      <c r="D154">
        <f ca="1">Pairs!O155</f>
        <v>1</v>
      </c>
      <c r="E154" s="1">
        <v>0</v>
      </c>
    </row>
    <row r="155" spans="1:5" x14ac:dyDescent="0.25">
      <c r="A155">
        <v>1</v>
      </c>
      <c r="B155" t="str">
        <f>Pairs!G156</f>
        <v>D8-R8</v>
      </c>
      <c r="C155" t="str">
        <f>Pairs!H156</f>
        <v>D20-R20</v>
      </c>
      <c r="D155">
        <f ca="1">Pairs!O156</f>
        <v>1</v>
      </c>
      <c r="E155" s="1">
        <v>0</v>
      </c>
    </row>
    <row r="156" spans="1:5" x14ac:dyDescent="0.25">
      <c r="A156">
        <v>1</v>
      </c>
      <c r="B156" t="str">
        <f>Pairs!G157</f>
        <v>D9-R9</v>
      </c>
      <c r="C156" t="str">
        <f>Pairs!H157</f>
        <v>D1-R1</v>
      </c>
      <c r="D156">
        <f ca="1">Pairs!O157</f>
        <v>0</v>
      </c>
      <c r="E156" s="1">
        <v>0</v>
      </c>
    </row>
    <row r="157" spans="1:5" x14ac:dyDescent="0.25">
      <c r="A157">
        <v>1</v>
      </c>
      <c r="B157" t="str">
        <f>Pairs!G158</f>
        <v>D9-R9</v>
      </c>
      <c r="C157" t="str">
        <f>Pairs!H158</f>
        <v>D2-R2</v>
      </c>
      <c r="D157">
        <f ca="1">Pairs!O158</f>
        <v>1</v>
      </c>
      <c r="E157" s="1">
        <v>0</v>
      </c>
    </row>
    <row r="158" spans="1:5" x14ac:dyDescent="0.25">
      <c r="A158">
        <v>1</v>
      </c>
      <c r="B158" t="str">
        <f>Pairs!G159</f>
        <v>D9-R9</v>
      </c>
      <c r="C158" t="str">
        <f>Pairs!H159</f>
        <v>D3-R3</v>
      </c>
      <c r="D158">
        <f ca="1">Pairs!O159</f>
        <v>1</v>
      </c>
      <c r="E158" s="1">
        <v>0</v>
      </c>
    </row>
    <row r="159" spans="1:5" x14ac:dyDescent="0.25">
      <c r="A159">
        <v>1</v>
      </c>
      <c r="B159" t="str">
        <f>Pairs!G160</f>
        <v>D9-R9</v>
      </c>
      <c r="C159" t="str">
        <f>Pairs!H160</f>
        <v>D4-R4</v>
      </c>
      <c r="D159">
        <f ca="1">Pairs!O160</f>
        <v>1</v>
      </c>
      <c r="E159" s="1">
        <v>0</v>
      </c>
    </row>
    <row r="160" spans="1:5" x14ac:dyDescent="0.25">
      <c r="A160">
        <v>1</v>
      </c>
      <c r="B160" t="str">
        <f>Pairs!G161</f>
        <v>D9-R9</v>
      </c>
      <c r="C160" t="str">
        <f>Pairs!H161</f>
        <v>D5-R5</v>
      </c>
      <c r="D160">
        <f ca="1">Pairs!O161</f>
        <v>0</v>
      </c>
      <c r="E160" s="1">
        <v>0</v>
      </c>
    </row>
    <row r="161" spans="1:5" x14ac:dyDescent="0.25">
      <c r="A161">
        <v>1</v>
      </c>
      <c r="B161" t="str">
        <f>Pairs!G162</f>
        <v>D9-R9</v>
      </c>
      <c r="C161" t="str">
        <f>Pairs!H162</f>
        <v>D6-R6</v>
      </c>
      <c r="D161">
        <f ca="1">Pairs!O162</f>
        <v>1</v>
      </c>
      <c r="E161" s="1">
        <v>0</v>
      </c>
    </row>
    <row r="162" spans="1:5" x14ac:dyDescent="0.25">
      <c r="A162">
        <v>1</v>
      </c>
      <c r="B162" t="str">
        <f>Pairs!G163</f>
        <v>D9-R9</v>
      </c>
      <c r="C162" t="str">
        <f>Pairs!H163</f>
        <v>D7-R7</v>
      </c>
      <c r="D162">
        <f ca="1">Pairs!O163</f>
        <v>1</v>
      </c>
      <c r="E162" s="1">
        <v>0</v>
      </c>
    </row>
    <row r="163" spans="1:5" x14ac:dyDescent="0.25">
      <c r="A163">
        <v>1</v>
      </c>
      <c r="B163" t="str">
        <f>Pairs!G164</f>
        <v>D9-R9</v>
      </c>
      <c r="C163" t="str">
        <f>Pairs!H164</f>
        <v>D8-R8</v>
      </c>
      <c r="D163">
        <f ca="1">Pairs!O164</f>
        <v>0</v>
      </c>
      <c r="E163" s="1">
        <v>0</v>
      </c>
    </row>
    <row r="164" spans="1:5" x14ac:dyDescent="0.25">
      <c r="A164">
        <v>1</v>
      </c>
      <c r="B164" t="str">
        <f>Pairs!G165</f>
        <v>D9-R9</v>
      </c>
      <c r="C164" t="str">
        <f>Pairs!H165</f>
        <v>D10-R10</v>
      </c>
      <c r="D164">
        <f ca="1">Pairs!O165</f>
        <v>1</v>
      </c>
      <c r="E164" s="1">
        <v>0</v>
      </c>
    </row>
    <row r="165" spans="1:5" x14ac:dyDescent="0.25">
      <c r="A165">
        <v>1</v>
      </c>
      <c r="B165" t="str">
        <f>Pairs!G166</f>
        <v>D9-R9</v>
      </c>
      <c r="C165" t="str">
        <f>Pairs!H166</f>
        <v>D11-R11</v>
      </c>
      <c r="D165">
        <f ca="1">Pairs!O166</f>
        <v>1</v>
      </c>
      <c r="E165" s="1">
        <v>0</v>
      </c>
    </row>
    <row r="166" spans="1:5" x14ac:dyDescent="0.25">
      <c r="A166">
        <v>1</v>
      </c>
      <c r="B166" t="str">
        <f>Pairs!G167</f>
        <v>D9-R9</v>
      </c>
      <c r="C166" t="str">
        <f>Pairs!H167</f>
        <v>D12-R12</v>
      </c>
      <c r="D166">
        <f ca="1">Pairs!O167</f>
        <v>0</v>
      </c>
      <c r="E166" s="1">
        <v>0</v>
      </c>
    </row>
    <row r="167" spans="1:5" x14ac:dyDescent="0.25">
      <c r="A167">
        <v>1</v>
      </c>
      <c r="B167" t="str">
        <f>Pairs!G168</f>
        <v>D9-R9</v>
      </c>
      <c r="C167" t="str">
        <f>Pairs!H168</f>
        <v>D13-R13</v>
      </c>
      <c r="D167">
        <f ca="1">Pairs!O168</f>
        <v>1</v>
      </c>
      <c r="E167" s="1">
        <v>0</v>
      </c>
    </row>
    <row r="168" spans="1:5" x14ac:dyDescent="0.25">
      <c r="A168">
        <v>1</v>
      </c>
      <c r="B168" t="str">
        <f>Pairs!G169</f>
        <v>D9-R9</v>
      </c>
      <c r="C168" t="str">
        <f>Pairs!H169</f>
        <v>D14-R14</v>
      </c>
      <c r="D168">
        <f ca="1">Pairs!O169</f>
        <v>1</v>
      </c>
      <c r="E168" s="1">
        <v>0</v>
      </c>
    </row>
    <row r="169" spans="1:5" x14ac:dyDescent="0.25">
      <c r="A169">
        <v>1</v>
      </c>
      <c r="B169" t="str">
        <f>Pairs!G170</f>
        <v>D9-R9</v>
      </c>
      <c r="C169" t="str">
        <f>Pairs!H170</f>
        <v>D15-R15</v>
      </c>
      <c r="D169">
        <f ca="1">Pairs!O170</f>
        <v>1</v>
      </c>
      <c r="E169" s="1">
        <v>0</v>
      </c>
    </row>
    <row r="170" spans="1:5" x14ac:dyDescent="0.25">
      <c r="A170">
        <v>1</v>
      </c>
      <c r="B170" t="str">
        <f>Pairs!G171</f>
        <v>D9-R9</v>
      </c>
      <c r="C170" t="str">
        <f>Pairs!H171</f>
        <v>D16-R16</v>
      </c>
      <c r="D170">
        <f ca="1">Pairs!O171</f>
        <v>1</v>
      </c>
      <c r="E170" s="1">
        <v>0</v>
      </c>
    </row>
    <row r="171" spans="1:5" x14ac:dyDescent="0.25">
      <c r="A171">
        <v>1</v>
      </c>
      <c r="B171" t="str">
        <f>Pairs!G172</f>
        <v>D9-R9</v>
      </c>
      <c r="C171" t="str">
        <f>Pairs!H172</f>
        <v>D17-R17</v>
      </c>
      <c r="D171">
        <f ca="1">Pairs!O172</f>
        <v>0</v>
      </c>
      <c r="E171" s="1">
        <v>0</v>
      </c>
    </row>
    <row r="172" spans="1:5" x14ac:dyDescent="0.25">
      <c r="A172">
        <v>1</v>
      </c>
      <c r="B172" t="str">
        <f>Pairs!G173</f>
        <v>D9-R9</v>
      </c>
      <c r="C172" t="str">
        <f>Pairs!H173</f>
        <v>D18-R18</v>
      </c>
      <c r="D172">
        <f ca="1">Pairs!O173</f>
        <v>0</v>
      </c>
      <c r="E172" s="1">
        <v>0</v>
      </c>
    </row>
    <row r="173" spans="1:5" x14ac:dyDescent="0.25">
      <c r="A173">
        <v>1</v>
      </c>
      <c r="B173" t="str">
        <f>Pairs!G174</f>
        <v>D9-R9</v>
      </c>
      <c r="C173" t="str">
        <f>Pairs!H174</f>
        <v>D19-R19</v>
      </c>
      <c r="D173">
        <f ca="1">Pairs!O174</f>
        <v>0</v>
      </c>
      <c r="E173" s="1">
        <v>0</v>
      </c>
    </row>
    <row r="174" spans="1:5" x14ac:dyDescent="0.25">
      <c r="A174">
        <v>1</v>
      </c>
      <c r="B174" t="str">
        <f>Pairs!G175</f>
        <v>D9-R9</v>
      </c>
      <c r="C174" t="str">
        <f>Pairs!H175</f>
        <v>D20-R20</v>
      </c>
      <c r="D174">
        <f ca="1">Pairs!O175</f>
        <v>0</v>
      </c>
      <c r="E174" s="1">
        <v>0</v>
      </c>
    </row>
    <row r="175" spans="1:5" x14ac:dyDescent="0.25">
      <c r="A175">
        <v>1</v>
      </c>
      <c r="B175" t="str">
        <f>Pairs!G176</f>
        <v>D10-R10</v>
      </c>
      <c r="C175" t="str">
        <f>Pairs!H176</f>
        <v>D1-R1</v>
      </c>
      <c r="D175">
        <f ca="1">Pairs!O176</f>
        <v>0</v>
      </c>
      <c r="E175" s="1">
        <v>0</v>
      </c>
    </row>
    <row r="176" spans="1:5" x14ac:dyDescent="0.25">
      <c r="A176">
        <v>1</v>
      </c>
      <c r="B176" t="str">
        <f>Pairs!G177</f>
        <v>D10-R10</v>
      </c>
      <c r="C176" t="str">
        <f>Pairs!H177</f>
        <v>D2-R2</v>
      </c>
      <c r="D176">
        <f ca="1">Pairs!O177</f>
        <v>1</v>
      </c>
      <c r="E176" s="1">
        <v>0</v>
      </c>
    </row>
    <row r="177" spans="1:5" x14ac:dyDescent="0.25">
      <c r="A177">
        <v>1</v>
      </c>
      <c r="B177" t="str">
        <f>Pairs!G178</f>
        <v>D10-R10</v>
      </c>
      <c r="C177" t="str">
        <f>Pairs!H178</f>
        <v>D3-R3</v>
      </c>
      <c r="D177">
        <f ca="1">Pairs!O178</f>
        <v>0</v>
      </c>
      <c r="E177" s="1">
        <v>0</v>
      </c>
    </row>
    <row r="178" spans="1:5" x14ac:dyDescent="0.25">
      <c r="A178">
        <v>1</v>
      </c>
      <c r="B178" t="str">
        <f>Pairs!G179</f>
        <v>D10-R10</v>
      </c>
      <c r="C178" t="str">
        <f>Pairs!H179</f>
        <v>D4-R4</v>
      </c>
      <c r="D178">
        <f ca="1">Pairs!O179</f>
        <v>0</v>
      </c>
      <c r="E178" s="1">
        <v>0</v>
      </c>
    </row>
    <row r="179" spans="1:5" x14ac:dyDescent="0.25">
      <c r="A179">
        <v>1</v>
      </c>
      <c r="B179" t="str">
        <f>Pairs!G180</f>
        <v>D10-R10</v>
      </c>
      <c r="C179" t="str">
        <f>Pairs!H180</f>
        <v>D5-R5</v>
      </c>
      <c r="D179">
        <f ca="1">Pairs!O180</f>
        <v>0</v>
      </c>
      <c r="E179" s="1">
        <v>0</v>
      </c>
    </row>
    <row r="180" spans="1:5" x14ac:dyDescent="0.25">
      <c r="A180">
        <v>1</v>
      </c>
      <c r="B180" t="str">
        <f>Pairs!G181</f>
        <v>D10-R10</v>
      </c>
      <c r="C180" t="str">
        <f>Pairs!H181</f>
        <v>D6-R6</v>
      </c>
      <c r="D180">
        <f ca="1">Pairs!O181</f>
        <v>1</v>
      </c>
      <c r="E180" s="1">
        <v>0</v>
      </c>
    </row>
    <row r="181" spans="1:5" x14ac:dyDescent="0.25">
      <c r="A181">
        <v>1</v>
      </c>
      <c r="B181" t="str">
        <f>Pairs!G182</f>
        <v>D10-R10</v>
      </c>
      <c r="C181" t="str">
        <f>Pairs!H182</f>
        <v>D7-R7</v>
      </c>
      <c r="D181">
        <f ca="1">Pairs!O182</f>
        <v>0</v>
      </c>
      <c r="E181" s="1">
        <v>0</v>
      </c>
    </row>
    <row r="182" spans="1:5" x14ac:dyDescent="0.25">
      <c r="A182">
        <v>1</v>
      </c>
      <c r="B182" t="str">
        <f>Pairs!G183</f>
        <v>D10-R10</v>
      </c>
      <c r="C182" t="str">
        <f>Pairs!H183</f>
        <v>D8-R8</v>
      </c>
      <c r="D182">
        <f ca="1">Pairs!O183</f>
        <v>0</v>
      </c>
      <c r="E182" s="1">
        <v>0</v>
      </c>
    </row>
    <row r="183" spans="1:5" x14ac:dyDescent="0.25">
      <c r="A183">
        <v>1</v>
      </c>
      <c r="B183" t="str">
        <f>Pairs!G184</f>
        <v>D10-R10</v>
      </c>
      <c r="C183" t="str">
        <f>Pairs!H184</f>
        <v>D9-R9</v>
      </c>
      <c r="D183">
        <f ca="1">Pairs!O184</f>
        <v>0</v>
      </c>
      <c r="E183" s="1">
        <v>0</v>
      </c>
    </row>
    <row r="184" spans="1:5" x14ac:dyDescent="0.25">
      <c r="A184">
        <v>1</v>
      </c>
      <c r="B184" t="str">
        <f>Pairs!G185</f>
        <v>D10-R10</v>
      </c>
      <c r="C184" t="str">
        <f>Pairs!H185</f>
        <v>D11-R11</v>
      </c>
      <c r="D184">
        <f ca="1">Pairs!O185</f>
        <v>1</v>
      </c>
      <c r="E184" s="1">
        <v>0</v>
      </c>
    </row>
    <row r="185" spans="1:5" x14ac:dyDescent="0.25">
      <c r="A185">
        <v>1</v>
      </c>
      <c r="B185" t="str">
        <f>Pairs!G186</f>
        <v>D10-R10</v>
      </c>
      <c r="C185" t="str">
        <f>Pairs!H186</f>
        <v>D12-R12</v>
      </c>
      <c r="D185">
        <f ca="1">Pairs!O186</f>
        <v>0</v>
      </c>
      <c r="E185" s="1">
        <v>0</v>
      </c>
    </row>
    <row r="186" spans="1:5" x14ac:dyDescent="0.25">
      <c r="A186">
        <v>1</v>
      </c>
      <c r="B186" t="str">
        <f>Pairs!G187</f>
        <v>D10-R10</v>
      </c>
      <c r="C186" t="str">
        <f>Pairs!H187</f>
        <v>D13-R13</v>
      </c>
      <c r="D186">
        <f ca="1">Pairs!O187</f>
        <v>1</v>
      </c>
      <c r="E186" s="1">
        <v>0</v>
      </c>
    </row>
    <row r="187" spans="1:5" x14ac:dyDescent="0.25">
      <c r="A187">
        <v>1</v>
      </c>
      <c r="B187" t="str">
        <f>Pairs!G188</f>
        <v>D10-R10</v>
      </c>
      <c r="C187" t="str">
        <f>Pairs!H188</f>
        <v>D14-R14</v>
      </c>
      <c r="D187">
        <f ca="1">Pairs!O188</f>
        <v>0</v>
      </c>
      <c r="E187" s="1">
        <v>0</v>
      </c>
    </row>
    <row r="188" spans="1:5" x14ac:dyDescent="0.25">
      <c r="A188">
        <v>1</v>
      </c>
      <c r="B188" t="str">
        <f>Pairs!G189</f>
        <v>D10-R10</v>
      </c>
      <c r="C188" t="str">
        <f>Pairs!H189</f>
        <v>D15-R15</v>
      </c>
      <c r="D188">
        <f ca="1">Pairs!O189</f>
        <v>0</v>
      </c>
      <c r="E188" s="1">
        <v>0</v>
      </c>
    </row>
    <row r="189" spans="1:5" x14ac:dyDescent="0.25">
      <c r="A189">
        <v>1</v>
      </c>
      <c r="B189" t="str">
        <f>Pairs!G190</f>
        <v>D10-R10</v>
      </c>
      <c r="C189" t="str">
        <f>Pairs!H190</f>
        <v>D16-R16</v>
      </c>
      <c r="D189">
        <f ca="1">Pairs!O190</f>
        <v>0</v>
      </c>
      <c r="E189" s="1">
        <v>0</v>
      </c>
    </row>
    <row r="190" spans="1:5" x14ac:dyDescent="0.25">
      <c r="A190">
        <v>1</v>
      </c>
      <c r="B190" t="str">
        <f>Pairs!G191</f>
        <v>D10-R10</v>
      </c>
      <c r="C190" t="str">
        <f>Pairs!H191</f>
        <v>D17-R17</v>
      </c>
      <c r="D190">
        <f ca="1">Pairs!O191</f>
        <v>0</v>
      </c>
      <c r="E190" s="1">
        <v>0</v>
      </c>
    </row>
    <row r="191" spans="1:5" x14ac:dyDescent="0.25">
      <c r="A191">
        <v>1</v>
      </c>
      <c r="B191" t="str">
        <f>Pairs!G192</f>
        <v>D10-R10</v>
      </c>
      <c r="C191" t="str">
        <f>Pairs!H192</f>
        <v>D18-R18</v>
      </c>
      <c r="D191">
        <f ca="1">Pairs!O192</f>
        <v>0</v>
      </c>
      <c r="E191" s="1">
        <v>0</v>
      </c>
    </row>
    <row r="192" spans="1:5" x14ac:dyDescent="0.25">
      <c r="A192">
        <v>1</v>
      </c>
      <c r="B192" t="str">
        <f>Pairs!G193</f>
        <v>D10-R10</v>
      </c>
      <c r="C192" t="str">
        <f>Pairs!H193</f>
        <v>D19-R19</v>
      </c>
      <c r="D192">
        <f ca="1">Pairs!O193</f>
        <v>0</v>
      </c>
      <c r="E192" s="1">
        <v>0</v>
      </c>
    </row>
    <row r="193" spans="1:5" x14ac:dyDescent="0.25">
      <c r="A193">
        <v>1</v>
      </c>
      <c r="B193" t="str">
        <f>Pairs!G194</f>
        <v>D10-R10</v>
      </c>
      <c r="C193" t="str">
        <f>Pairs!H194</f>
        <v>D20-R20</v>
      </c>
      <c r="D193">
        <f ca="1">Pairs!O194</f>
        <v>0</v>
      </c>
      <c r="E193" s="1">
        <v>0</v>
      </c>
    </row>
    <row r="194" spans="1:5" x14ac:dyDescent="0.25">
      <c r="A194">
        <v>1</v>
      </c>
      <c r="B194" t="str">
        <f>Pairs!G195</f>
        <v>D11-R11</v>
      </c>
      <c r="C194" t="str">
        <f>Pairs!H195</f>
        <v>D1-R1</v>
      </c>
      <c r="D194">
        <f ca="1">Pairs!O195</f>
        <v>1</v>
      </c>
      <c r="E194" s="1">
        <v>0</v>
      </c>
    </row>
    <row r="195" spans="1:5" x14ac:dyDescent="0.25">
      <c r="A195">
        <v>1</v>
      </c>
      <c r="B195" t="str">
        <f>Pairs!G196</f>
        <v>D11-R11</v>
      </c>
      <c r="C195" t="str">
        <f>Pairs!H196</f>
        <v>D2-R2</v>
      </c>
      <c r="D195">
        <f ca="1">Pairs!O196</f>
        <v>1</v>
      </c>
      <c r="E195" s="1">
        <v>0</v>
      </c>
    </row>
    <row r="196" spans="1:5" x14ac:dyDescent="0.25">
      <c r="A196">
        <v>1</v>
      </c>
      <c r="B196" t="str">
        <f>Pairs!G197</f>
        <v>D11-R11</v>
      </c>
      <c r="C196" t="str">
        <f>Pairs!H197</f>
        <v>D3-R3</v>
      </c>
      <c r="D196">
        <f ca="1">Pairs!O197</f>
        <v>1</v>
      </c>
      <c r="E196" s="1">
        <v>0</v>
      </c>
    </row>
    <row r="197" spans="1:5" x14ac:dyDescent="0.25">
      <c r="A197">
        <v>1</v>
      </c>
      <c r="B197" t="str">
        <f>Pairs!G198</f>
        <v>D11-R11</v>
      </c>
      <c r="C197" t="str">
        <f>Pairs!H198</f>
        <v>D4-R4</v>
      </c>
      <c r="D197">
        <f ca="1">Pairs!O198</f>
        <v>1</v>
      </c>
      <c r="E197" s="1">
        <v>0</v>
      </c>
    </row>
    <row r="198" spans="1:5" x14ac:dyDescent="0.25">
      <c r="A198">
        <v>1</v>
      </c>
      <c r="B198" t="str">
        <f>Pairs!G199</f>
        <v>D11-R11</v>
      </c>
      <c r="C198" t="str">
        <f>Pairs!H199</f>
        <v>D5-R5</v>
      </c>
      <c r="D198">
        <f ca="1">Pairs!O199</f>
        <v>1</v>
      </c>
      <c r="E198" s="1">
        <v>0</v>
      </c>
    </row>
    <row r="199" spans="1:5" x14ac:dyDescent="0.25">
      <c r="A199">
        <v>1</v>
      </c>
      <c r="B199" t="str">
        <f>Pairs!G200</f>
        <v>D11-R11</v>
      </c>
      <c r="C199" t="str">
        <f>Pairs!H200</f>
        <v>D6-R6</v>
      </c>
      <c r="D199">
        <f ca="1">Pairs!O200</f>
        <v>1</v>
      </c>
      <c r="E199" s="1">
        <v>0</v>
      </c>
    </row>
    <row r="200" spans="1:5" x14ac:dyDescent="0.25">
      <c r="A200">
        <v>1</v>
      </c>
      <c r="B200" t="str">
        <f>Pairs!G201</f>
        <v>D11-R11</v>
      </c>
      <c r="C200" t="str">
        <f>Pairs!H201</f>
        <v>D7-R7</v>
      </c>
      <c r="D200">
        <f ca="1">Pairs!O201</f>
        <v>1</v>
      </c>
      <c r="E200" s="1">
        <v>0</v>
      </c>
    </row>
    <row r="201" spans="1:5" x14ac:dyDescent="0.25">
      <c r="A201">
        <v>1</v>
      </c>
      <c r="B201" t="str">
        <f>Pairs!G202</f>
        <v>D11-R11</v>
      </c>
      <c r="C201" t="str">
        <f>Pairs!H202</f>
        <v>D8-R8</v>
      </c>
      <c r="D201">
        <f ca="1">Pairs!O202</f>
        <v>1</v>
      </c>
      <c r="E201" s="1">
        <v>0</v>
      </c>
    </row>
    <row r="202" spans="1:5" x14ac:dyDescent="0.25">
      <c r="A202">
        <v>1</v>
      </c>
      <c r="B202" t="str">
        <f>Pairs!G203</f>
        <v>D11-R11</v>
      </c>
      <c r="C202" t="str">
        <f>Pairs!H203</f>
        <v>D9-R9</v>
      </c>
      <c r="D202">
        <f ca="1">Pairs!O203</f>
        <v>1</v>
      </c>
      <c r="E202" s="1">
        <v>0</v>
      </c>
    </row>
    <row r="203" spans="1:5" x14ac:dyDescent="0.25">
      <c r="A203">
        <v>1</v>
      </c>
      <c r="B203" t="str">
        <f>Pairs!G204</f>
        <v>D11-R11</v>
      </c>
      <c r="C203" t="str">
        <f>Pairs!H204</f>
        <v>D10-R10</v>
      </c>
      <c r="D203">
        <f ca="1">Pairs!O204</f>
        <v>1</v>
      </c>
      <c r="E203" s="1">
        <v>0</v>
      </c>
    </row>
    <row r="204" spans="1:5" x14ac:dyDescent="0.25">
      <c r="A204">
        <v>1</v>
      </c>
      <c r="B204" t="str">
        <f>Pairs!G205</f>
        <v>D11-R11</v>
      </c>
      <c r="C204" t="str">
        <f>Pairs!H205</f>
        <v>D12-R12</v>
      </c>
      <c r="D204">
        <f ca="1">Pairs!O205</f>
        <v>1</v>
      </c>
      <c r="E204" s="1">
        <v>0</v>
      </c>
    </row>
    <row r="205" spans="1:5" x14ac:dyDescent="0.25">
      <c r="A205">
        <v>1</v>
      </c>
      <c r="B205" t="str">
        <f>Pairs!G206</f>
        <v>D11-R11</v>
      </c>
      <c r="C205" t="str">
        <f>Pairs!H206</f>
        <v>D13-R13</v>
      </c>
      <c r="D205">
        <f ca="1">Pairs!O206</f>
        <v>1</v>
      </c>
      <c r="E205" s="1">
        <v>0</v>
      </c>
    </row>
    <row r="206" spans="1:5" x14ac:dyDescent="0.25">
      <c r="A206">
        <v>1</v>
      </c>
      <c r="B206" t="str">
        <f>Pairs!G207</f>
        <v>D11-R11</v>
      </c>
      <c r="C206" t="str">
        <f>Pairs!H207</f>
        <v>D14-R14</v>
      </c>
      <c r="D206">
        <f ca="1">Pairs!O207</f>
        <v>1</v>
      </c>
      <c r="E206" s="1">
        <v>0</v>
      </c>
    </row>
    <row r="207" spans="1:5" x14ac:dyDescent="0.25">
      <c r="A207">
        <v>1</v>
      </c>
      <c r="B207" t="str">
        <f>Pairs!G208</f>
        <v>D11-R11</v>
      </c>
      <c r="C207" t="str">
        <f>Pairs!H208</f>
        <v>D15-R15</v>
      </c>
      <c r="D207">
        <f ca="1">Pairs!O208</f>
        <v>1</v>
      </c>
      <c r="E207" s="1">
        <v>0</v>
      </c>
    </row>
    <row r="208" spans="1:5" x14ac:dyDescent="0.25">
      <c r="A208">
        <v>1</v>
      </c>
      <c r="B208" t="str">
        <f>Pairs!G209</f>
        <v>D11-R11</v>
      </c>
      <c r="C208" t="str">
        <f>Pairs!H209</f>
        <v>D16-R16</v>
      </c>
      <c r="D208">
        <f ca="1">Pairs!O209</f>
        <v>1</v>
      </c>
      <c r="E208" s="1">
        <v>0</v>
      </c>
    </row>
    <row r="209" spans="1:5" x14ac:dyDescent="0.25">
      <c r="A209">
        <v>1</v>
      </c>
      <c r="B209" t="str">
        <f>Pairs!G210</f>
        <v>D11-R11</v>
      </c>
      <c r="C209" t="str">
        <f>Pairs!H210</f>
        <v>D17-R17</v>
      </c>
      <c r="D209">
        <f ca="1">Pairs!O210</f>
        <v>1</v>
      </c>
      <c r="E209" s="1">
        <v>0</v>
      </c>
    </row>
    <row r="210" spans="1:5" x14ac:dyDescent="0.25">
      <c r="A210">
        <v>1</v>
      </c>
      <c r="B210" t="str">
        <f>Pairs!G211</f>
        <v>D11-R11</v>
      </c>
      <c r="C210" t="str">
        <f>Pairs!H211</f>
        <v>D18-R18</v>
      </c>
      <c r="D210">
        <f ca="1">Pairs!O211</f>
        <v>1</v>
      </c>
      <c r="E210" s="1">
        <v>0</v>
      </c>
    </row>
    <row r="211" spans="1:5" x14ac:dyDescent="0.25">
      <c r="A211">
        <v>1</v>
      </c>
      <c r="B211" t="str">
        <f>Pairs!G212</f>
        <v>D11-R11</v>
      </c>
      <c r="C211" t="str">
        <f>Pairs!H212</f>
        <v>D19-R19</v>
      </c>
      <c r="D211">
        <f ca="1">Pairs!O212</f>
        <v>1</v>
      </c>
      <c r="E211" s="1">
        <v>0</v>
      </c>
    </row>
    <row r="212" spans="1:5" x14ac:dyDescent="0.25">
      <c r="A212">
        <v>1</v>
      </c>
      <c r="B212" t="str">
        <f>Pairs!G213</f>
        <v>D11-R11</v>
      </c>
      <c r="C212" t="str">
        <f>Pairs!H213</f>
        <v>D20-R20</v>
      </c>
      <c r="D212">
        <f ca="1">Pairs!O213</f>
        <v>1</v>
      </c>
      <c r="E212" s="1">
        <v>0</v>
      </c>
    </row>
    <row r="213" spans="1:5" x14ac:dyDescent="0.25">
      <c r="A213">
        <v>1</v>
      </c>
      <c r="B213" t="str">
        <f>Pairs!G214</f>
        <v>D12-R12</v>
      </c>
      <c r="C213" t="str">
        <f>Pairs!H214</f>
        <v>D1-R1</v>
      </c>
      <c r="D213">
        <f ca="1">Pairs!O214</f>
        <v>1</v>
      </c>
      <c r="E213" s="1">
        <v>0</v>
      </c>
    </row>
    <row r="214" spans="1:5" x14ac:dyDescent="0.25">
      <c r="A214">
        <v>1</v>
      </c>
      <c r="B214" t="str">
        <f>Pairs!G215</f>
        <v>D12-R12</v>
      </c>
      <c r="C214" t="str">
        <f>Pairs!H215</f>
        <v>D2-R2</v>
      </c>
      <c r="D214">
        <f ca="1">Pairs!O215</f>
        <v>1</v>
      </c>
      <c r="E214" s="1">
        <v>0</v>
      </c>
    </row>
    <row r="215" spans="1:5" x14ac:dyDescent="0.25">
      <c r="A215">
        <v>1</v>
      </c>
      <c r="B215" t="str">
        <f>Pairs!G216</f>
        <v>D12-R12</v>
      </c>
      <c r="C215" t="str">
        <f>Pairs!H216</f>
        <v>D3-R3</v>
      </c>
      <c r="D215">
        <f ca="1">Pairs!O216</f>
        <v>1</v>
      </c>
      <c r="E215" s="1">
        <v>0</v>
      </c>
    </row>
    <row r="216" spans="1:5" x14ac:dyDescent="0.25">
      <c r="A216">
        <v>1</v>
      </c>
      <c r="B216" t="str">
        <f>Pairs!G217</f>
        <v>D12-R12</v>
      </c>
      <c r="C216" t="str">
        <f>Pairs!H217</f>
        <v>D4-R4</v>
      </c>
      <c r="D216">
        <f ca="1">Pairs!O217</f>
        <v>1</v>
      </c>
      <c r="E216" s="1">
        <v>0</v>
      </c>
    </row>
    <row r="217" spans="1:5" x14ac:dyDescent="0.25">
      <c r="A217">
        <v>1</v>
      </c>
      <c r="B217" t="str">
        <f>Pairs!G218</f>
        <v>D12-R12</v>
      </c>
      <c r="C217" t="str">
        <f>Pairs!H218</f>
        <v>D5-R5</v>
      </c>
      <c r="D217">
        <f ca="1">Pairs!O218</f>
        <v>1</v>
      </c>
      <c r="E217" s="1">
        <v>0</v>
      </c>
    </row>
    <row r="218" spans="1:5" x14ac:dyDescent="0.25">
      <c r="A218">
        <v>1</v>
      </c>
      <c r="B218" t="str">
        <f>Pairs!G219</f>
        <v>D12-R12</v>
      </c>
      <c r="C218" t="str">
        <f>Pairs!H219</f>
        <v>D6-R6</v>
      </c>
      <c r="D218">
        <f ca="1">Pairs!O219</f>
        <v>1</v>
      </c>
      <c r="E218" s="1">
        <v>0</v>
      </c>
    </row>
    <row r="219" spans="1:5" x14ac:dyDescent="0.25">
      <c r="A219">
        <v>1</v>
      </c>
      <c r="B219" t="str">
        <f>Pairs!G220</f>
        <v>D12-R12</v>
      </c>
      <c r="C219" t="str">
        <f>Pairs!H220</f>
        <v>D7-R7</v>
      </c>
      <c r="D219">
        <f ca="1">Pairs!O220</f>
        <v>1</v>
      </c>
      <c r="E219" s="1">
        <v>0</v>
      </c>
    </row>
    <row r="220" spans="1:5" x14ac:dyDescent="0.25">
      <c r="A220">
        <v>1</v>
      </c>
      <c r="B220" t="str">
        <f>Pairs!G221</f>
        <v>D12-R12</v>
      </c>
      <c r="C220" t="str">
        <f>Pairs!H221</f>
        <v>D8-R8</v>
      </c>
      <c r="D220">
        <f ca="1">Pairs!O221</f>
        <v>1</v>
      </c>
      <c r="E220" s="1">
        <v>0</v>
      </c>
    </row>
    <row r="221" spans="1:5" x14ac:dyDescent="0.25">
      <c r="A221">
        <v>1</v>
      </c>
      <c r="B221" t="str">
        <f>Pairs!G222</f>
        <v>D12-R12</v>
      </c>
      <c r="C221" t="str">
        <f>Pairs!H222</f>
        <v>D9-R9</v>
      </c>
      <c r="D221">
        <f ca="1">Pairs!O222</f>
        <v>1</v>
      </c>
      <c r="E221" s="1">
        <v>0</v>
      </c>
    </row>
    <row r="222" spans="1:5" x14ac:dyDescent="0.25">
      <c r="A222">
        <v>1</v>
      </c>
      <c r="B222" t="str">
        <f>Pairs!G223</f>
        <v>D12-R12</v>
      </c>
      <c r="C222" t="str">
        <f>Pairs!H223</f>
        <v>D10-R10</v>
      </c>
      <c r="D222">
        <f ca="1">Pairs!O223</f>
        <v>1</v>
      </c>
      <c r="E222" s="1">
        <v>0</v>
      </c>
    </row>
    <row r="223" spans="1:5" x14ac:dyDescent="0.25">
      <c r="A223">
        <v>1</v>
      </c>
      <c r="B223" t="str">
        <f>Pairs!G224</f>
        <v>D12-R12</v>
      </c>
      <c r="C223" t="str">
        <f>Pairs!H224</f>
        <v>D11-R11</v>
      </c>
      <c r="D223">
        <f ca="1">Pairs!O224</f>
        <v>1</v>
      </c>
      <c r="E223" s="1">
        <v>0</v>
      </c>
    </row>
    <row r="224" spans="1:5" x14ac:dyDescent="0.25">
      <c r="A224">
        <v>1</v>
      </c>
      <c r="B224" t="str">
        <f>Pairs!G225</f>
        <v>D12-R12</v>
      </c>
      <c r="C224" t="str">
        <f>Pairs!H225</f>
        <v>D13-R13</v>
      </c>
      <c r="D224">
        <f ca="1">Pairs!O225</f>
        <v>1</v>
      </c>
      <c r="E224" s="1">
        <v>0</v>
      </c>
    </row>
    <row r="225" spans="1:5" x14ac:dyDescent="0.25">
      <c r="A225">
        <v>1</v>
      </c>
      <c r="B225" t="str">
        <f>Pairs!G226</f>
        <v>D12-R12</v>
      </c>
      <c r="C225" t="str">
        <f>Pairs!H226</f>
        <v>D14-R14</v>
      </c>
      <c r="D225">
        <f ca="1">Pairs!O226</f>
        <v>1</v>
      </c>
      <c r="E225" s="1">
        <v>0</v>
      </c>
    </row>
    <row r="226" spans="1:5" x14ac:dyDescent="0.25">
      <c r="A226">
        <v>1</v>
      </c>
      <c r="B226" t="str">
        <f>Pairs!G227</f>
        <v>D12-R12</v>
      </c>
      <c r="C226" t="str">
        <f>Pairs!H227</f>
        <v>D15-R15</v>
      </c>
      <c r="D226">
        <f ca="1">Pairs!O227</f>
        <v>1</v>
      </c>
      <c r="E226" s="1">
        <v>0</v>
      </c>
    </row>
    <row r="227" spans="1:5" x14ac:dyDescent="0.25">
      <c r="A227">
        <v>1</v>
      </c>
      <c r="B227" t="str">
        <f>Pairs!G228</f>
        <v>D12-R12</v>
      </c>
      <c r="C227" t="str">
        <f>Pairs!H228</f>
        <v>D16-R16</v>
      </c>
      <c r="D227">
        <f ca="1">Pairs!O228</f>
        <v>1</v>
      </c>
      <c r="E227" s="1">
        <v>0</v>
      </c>
    </row>
    <row r="228" spans="1:5" x14ac:dyDescent="0.25">
      <c r="A228">
        <v>1</v>
      </c>
      <c r="B228" t="str">
        <f>Pairs!G229</f>
        <v>D12-R12</v>
      </c>
      <c r="C228" t="str">
        <f>Pairs!H229</f>
        <v>D17-R17</v>
      </c>
      <c r="D228">
        <f ca="1">Pairs!O229</f>
        <v>1</v>
      </c>
      <c r="E228" s="1">
        <v>0</v>
      </c>
    </row>
    <row r="229" spans="1:5" x14ac:dyDescent="0.25">
      <c r="A229">
        <v>1</v>
      </c>
      <c r="B229" t="str">
        <f>Pairs!G230</f>
        <v>D12-R12</v>
      </c>
      <c r="C229" t="str">
        <f>Pairs!H230</f>
        <v>D18-R18</v>
      </c>
      <c r="D229">
        <f ca="1">Pairs!O230</f>
        <v>1</v>
      </c>
      <c r="E229" s="1">
        <v>0</v>
      </c>
    </row>
    <row r="230" spans="1:5" x14ac:dyDescent="0.25">
      <c r="A230">
        <v>1</v>
      </c>
      <c r="B230" t="str">
        <f>Pairs!G231</f>
        <v>D12-R12</v>
      </c>
      <c r="C230" t="str">
        <f>Pairs!H231</f>
        <v>D19-R19</v>
      </c>
      <c r="D230">
        <f ca="1">Pairs!O231</f>
        <v>1</v>
      </c>
      <c r="E230" s="1">
        <v>0</v>
      </c>
    </row>
    <row r="231" spans="1:5" x14ac:dyDescent="0.25">
      <c r="A231">
        <v>1</v>
      </c>
      <c r="B231" t="str">
        <f>Pairs!G232</f>
        <v>D12-R12</v>
      </c>
      <c r="C231" t="str">
        <f>Pairs!H232</f>
        <v>D20-R20</v>
      </c>
      <c r="D231">
        <f ca="1">Pairs!O232</f>
        <v>1</v>
      </c>
      <c r="E231" s="1">
        <v>0</v>
      </c>
    </row>
    <row r="232" spans="1:5" x14ac:dyDescent="0.25">
      <c r="A232">
        <v>1</v>
      </c>
      <c r="B232" t="str">
        <f>Pairs!G233</f>
        <v>D13-R13</v>
      </c>
      <c r="C232" t="str">
        <f>Pairs!H233</f>
        <v>D1-R1</v>
      </c>
      <c r="D232">
        <f ca="1">Pairs!O233</f>
        <v>0</v>
      </c>
      <c r="E232" s="1">
        <v>0</v>
      </c>
    </row>
    <row r="233" spans="1:5" x14ac:dyDescent="0.25">
      <c r="A233">
        <v>1</v>
      </c>
      <c r="B233" t="str">
        <f>Pairs!G234</f>
        <v>D13-R13</v>
      </c>
      <c r="C233" t="str">
        <f>Pairs!H234</f>
        <v>D2-R2</v>
      </c>
      <c r="D233">
        <f ca="1">Pairs!O234</f>
        <v>1</v>
      </c>
      <c r="E233" s="1">
        <v>0</v>
      </c>
    </row>
    <row r="234" spans="1:5" x14ac:dyDescent="0.25">
      <c r="A234">
        <v>1</v>
      </c>
      <c r="B234" t="str">
        <f>Pairs!G235</f>
        <v>D13-R13</v>
      </c>
      <c r="C234" t="str">
        <f>Pairs!H235</f>
        <v>D3-R3</v>
      </c>
      <c r="D234">
        <f ca="1">Pairs!O235</f>
        <v>0</v>
      </c>
      <c r="E234" s="1">
        <v>0</v>
      </c>
    </row>
    <row r="235" spans="1:5" x14ac:dyDescent="0.25">
      <c r="A235">
        <v>1</v>
      </c>
      <c r="B235" t="str">
        <f>Pairs!G236</f>
        <v>D13-R13</v>
      </c>
      <c r="C235" t="str">
        <f>Pairs!H236</f>
        <v>D4-R4</v>
      </c>
      <c r="D235">
        <f ca="1">Pairs!O236</f>
        <v>0</v>
      </c>
      <c r="E235" s="1">
        <v>0</v>
      </c>
    </row>
    <row r="236" spans="1:5" x14ac:dyDescent="0.25">
      <c r="A236">
        <v>1</v>
      </c>
      <c r="B236" t="str">
        <f>Pairs!G237</f>
        <v>D13-R13</v>
      </c>
      <c r="C236" t="str">
        <f>Pairs!H237</f>
        <v>D5-R5</v>
      </c>
      <c r="D236">
        <f ca="1">Pairs!O237</f>
        <v>0</v>
      </c>
      <c r="E236" s="1">
        <v>0</v>
      </c>
    </row>
    <row r="237" spans="1:5" x14ac:dyDescent="0.25">
      <c r="A237">
        <v>1</v>
      </c>
      <c r="B237" t="str">
        <f>Pairs!G238</f>
        <v>D13-R13</v>
      </c>
      <c r="C237" t="str">
        <f>Pairs!H238</f>
        <v>D6-R6</v>
      </c>
      <c r="D237">
        <f ca="1">Pairs!O238</f>
        <v>1</v>
      </c>
      <c r="E237" s="1">
        <v>0</v>
      </c>
    </row>
    <row r="238" spans="1:5" x14ac:dyDescent="0.25">
      <c r="A238">
        <v>1</v>
      </c>
      <c r="B238" t="str">
        <f>Pairs!G239</f>
        <v>D13-R13</v>
      </c>
      <c r="C238" t="str">
        <f>Pairs!H239</f>
        <v>D7-R7</v>
      </c>
      <c r="D238">
        <f ca="1">Pairs!O239</f>
        <v>0</v>
      </c>
      <c r="E238" s="1">
        <v>0</v>
      </c>
    </row>
    <row r="239" spans="1:5" x14ac:dyDescent="0.25">
      <c r="A239">
        <v>1</v>
      </c>
      <c r="B239" t="str">
        <f>Pairs!G240</f>
        <v>D13-R13</v>
      </c>
      <c r="C239" t="str">
        <f>Pairs!H240</f>
        <v>D8-R8</v>
      </c>
      <c r="D239">
        <f ca="1">Pairs!O240</f>
        <v>0</v>
      </c>
      <c r="E239" s="1">
        <v>0</v>
      </c>
    </row>
    <row r="240" spans="1:5" x14ac:dyDescent="0.25">
      <c r="A240">
        <v>1</v>
      </c>
      <c r="B240" t="str">
        <f>Pairs!G241</f>
        <v>D13-R13</v>
      </c>
      <c r="C240" t="str">
        <f>Pairs!H241</f>
        <v>D9-R9</v>
      </c>
      <c r="D240">
        <f ca="1">Pairs!O241</f>
        <v>0</v>
      </c>
      <c r="E240" s="1">
        <v>0</v>
      </c>
    </row>
    <row r="241" spans="1:5" x14ac:dyDescent="0.25">
      <c r="A241">
        <v>1</v>
      </c>
      <c r="B241" t="str">
        <f>Pairs!G242</f>
        <v>D13-R13</v>
      </c>
      <c r="C241" t="str">
        <f>Pairs!H242</f>
        <v>D10-R10</v>
      </c>
      <c r="D241">
        <f ca="1">Pairs!O242</f>
        <v>0</v>
      </c>
      <c r="E241" s="1">
        <v>0</v>
      </c>
    </row>
    <row r="242" spans="1:5" x14ac:dyDescent="0.25">
      <c r="A242">
        <v>1</v>
      </c>
      <c r="B242" t="str">
        <f>Pairs!G243</f>
        <v>D13-R13</v>
      </c>
      <c r="C242" t="str">
        <f>Pairs!H243</f>
        <v>D11-R11</v>
      </c>
      <c r="D242">
        <f ca="1">Pairs!O243</f>
        <v>1</v>
      </c>
      <c r="E242" s="1">
        <v>0</v>
      </c>
    </row>
    <row r="243" spans="1:5" x14ac:dyDescent="0.25">
      <c r="A243">
        <v>1</v>
      </c>
      <c r="B243" t="str">
        <f>Pairs!G244</f>
        <v>D13-R13</v>
      </c>
      <c r="C243" t="str">
        <f>Pairs!H244</f>
        <v>D12-R12</v>
      </c>
      <c r="D243">
        <f ca="1">Pairs!O244</f>
        <v>0</v>
      </c>
      <c r="E243" s="1">
        <v>0</v>
      </c>
    </row>
    <row r="244" spans="1:5" x14ac:dyDescent="0.25">
      <c r="A244">
        <v>1</v>
      </c>
      <c r="B244" t="str">
        <f>Pairs!G245</f>
        <v>D13-R13</v>
      </c>
      <c r="C244" t="str">
        <f>Pairs!H245</f>
        <v>D14-R14</v>
      </c>
      <c r="D244">
        <f ca="1">Pairs!O245</f>
        <v>0</v>
      </c>
      <c r="E244" s="1">
        <v>0</v>
      </c>
    </row>
    <row r="245" spans="1:5" x14ac:dyDescent="0.25">
      <c r="A245">
        <v>1</v>
      </c>
      <c r="B245" t="str">
        <f>Pairs!G246</f>
        <v>D13-R13</v>
      </c>
      <c r="C245" t="str">
        <f>Pairs!H246</f>
        <v>D15-R15</v>
      </c>
      <c r="D245">
        <f ca="1">Pairs!O246</f>
        <v>0</v>
      </c>
      <c r="E245" s="1">
        <v>0</v>
      </c>
    </row>
    <row r="246" spans="1:5" x14ac:dyDescent="0.25">
      <c r="A246">
        <v>1</v>
      </c>
      <c r="B246" t="str">
        <f>Pairs!G247</f>
        <v>D13-R13</v>
      </c>
      <c r="C246" t="str">
        <f>Pairs!H247</f>
        <v>D16-R16</v>
      </c>
      <c r="D246">
        <f ca="1">Pairs!O247</f>
        <v>0</v>
      </c>
      <c r="E246" s="1">
        <v>0</v>
      </c>
    </row>
    <row r="247" spans="1:5" x14ac:dyDescent="0.25">
      <c r="A247">
        <v>1</v>
      </c>
      <c r="B247" t="str">
        <f>Pairs!G248</f>
        <v>D13-R13</v>
      </c>
      <c r="C247" t="str">
        <f>Pairs!H248</f>
        <v>D17-R17</v>
      </c>
      <c r="D247">
        <f ca="1">Pairs!O248</f>
        <v>0</v>
      </c>
      <c r="E247" s="1">
        <v>0</v>
      </c>
    </row>
    <row r="248" spans="1:5" x14ac:dyDescent="0.25">
      <c r="A248">
        <v>1</v>
      </c>
      <c r="B248" t="str">
        <f>Pairs!G249</f>
        <v>D13-R13</v>
      </c>
      <c r="C248" t="str">
        <f>Pairs!H249</f>
        <v>D18-R18</v>
      </c>
      <c r="D248">
        <f ca="1">Pairs!O249</f>
        <v>0</v>
      </c>
      <c r="E248" s="1">
        <v>0</v>
      </c>
    </row>
    <row r="249" spans="1:5" x14ac:dyDescent="0.25">
      <c r="A249">
        <v>1</v>
      </c>
      <c r="B249" t="str">
        <f>Pairs!G250</f>
        <v>D13-R13</v>
      </c>
      <c r="C249" t="str">
        <f>Pairs!H250</f>
        <v>D19-R19</v>
      </c>
      <c r="D249">
        <f ca="1">Pairs!O250</f>
        <v>0</v>
      </c>
      <c r="E249" s="1">
        <v>0</v>
      </c>
    </row>
    <row r="250" spans="1:5" x14ac:dyDescent="0.25">
      <c r="A250">
        <v>1</v>
      </c>
      <c r="B250" t="str">
        <f>Pairs!G251</f>
        <v>D13-R13</v>
      </c>
      <c r="C250" t="str">
        <f>Pairs!H251</f>
        <v>D20-R20</v>
      </c>
      <c r="D250">
        <f ca="1">Pairs!O251</f>
        <v>0</v>
      </c>
      <c r="E250" s="1">
        <v>0</v>
      </c>
    </row>
    <row r="251" spans="1:5" x14ac:dyDescent="0.25">
      <c r="A251">
        <v>1</v>
      </c>
      <c r="B251" t="str">
        <f>Pairs!G252</f>
        <v>D14-R14</v>
      </c>
      <c r="C251" t="str">
        <f>Pairs!H252</f>
        <v>D1-R1</v>
      </c>
      <c r="D251">
        <f ca="1">Pairs!O252</f>
        <v>0</v>
      </c>
      <c r="E251" s="1">
        <v>0</v>
      </c>
    </row>
    <row r="252" spans="1:5" x14ac:dyDescent="0.25">
      <c r="A252">
        <v>1</v>
      </c>
      <c r="B252" t="str">
        <f>Pairs!G253</f>
        <v>D14-R14</v>
      </c>
      <c r="C252" t="str">
        <f>Pairs!H253</f>
        <v>D2-R2</v>
      </c>
      <c r="D252">
        <f ca="1">Pairs!O253</f>
        <v>1</v>
      </c>
      <c r="E252" s="1">
        <v>0</v>
      </c>
    </row>
    <row r="253" spans="1:5" x14ac:dyDescent="0.25">
      <c r="A253">
        <v>1</v>
      </c>
      <c r="B253" t="str">
        <f>Pairs!G254</f>
        <v>D14-R14</v>
      </c>
      <c r="C253" t="str">
        <f>Pairs!H254</f>
        <v>D3-R3</v>
      </c>
      <c r="D253">
        <f ca="1">Pairs!O254</f>
        <v>1</v>
      </c>
      <c r="E253" s="1">
        <v>0</v>
      </c>
    </row>
    <row r="254" spans="1:5" x14ac:dyDescent="0.25">
      <c r="A254">
        <v>1</v>
      </c>
      <c r="B254" t="str">
        <f>Pairs!G255</f>
        <v>D14-R14</v>
      </c>
      <c r="C254" t="str">
        <f>Pairs!H255</f>
        <v>D4-R4</v>
      </c>
      <c r="D254">
        <f ca="1">Pairs!O255</f>
        <v>0</v>
      </c>
      <c r="E254" s="1">
        <v>0</v>
      </c>
    </row>
    <row r="255" spans="1:5" x14ac:dyDescent="0.25">
      <c r="A255">
        <v>1</v>
      </c>
      <c r="B255" t="str">
        <f>Pairs!G256</f>
        <v>D14-R14</v>
      </c>
      <c r="C255" t="str">
        <f>Pairs!H256</f>
        <v>D5-R5</v>
      </c>
      <c r="D255">
        <f ca="1">Pairs!O256</f>
        <v>1</v>
      </c>
      <c r="E255" s="1">
        <v>0</v>
      </c>
    </row>
    <row r="256" spans="1:5" x14ac:dyDescent="0.25">
      <c r="A256">
        <v>1</v>
      </c>
      <c r="B256" t="str">
        <f>Pairs!G257</f>
        <v>D14-R14</v>
      </c>
      <c r="C256" t="str">
        <f>Pairs!H257</f>
        <v>D6-R6</v>
      </c>
      <c r="D256">
        <f ca="1">Pairs!O257</f>
        <v>1</v>
      </c>
      <c r="E256" s="1">
        <v>0</v>
      </c>
    </row>
    <row r="257" spans="1:5" x14ac:dyDescent="0.25">
      <c r="A257">
        <v>1</v>
      </c>
      <c r="B257" t="str">
        <f>Pairs!G258</f>
        <v>D14-R14</v>
      </c>
      <c r="C257" t="str">
        <f>Pairs!H258</f>
        <v>D7-R7</v>
      </c>
      <c r="D257">
        <f ca="1">Pairs!O258</f>
        <v>0</v>
      </c>
      <c r="E257" s="1">
        <v>0</v>
      </c>
    </row>
    <row r="258" spans="1:5" x14ac:dyDescent="0.25">
      <c r="A258">
        <v>1</v>
      </c>
      <c r="B258" t="str">
        <f>Pairs!G259</f>
        <v>D14-R14</v>
      </c>
      <c r="C258" t="str">
        <f>Pairs!H259</f>
        <v>D8-R8</v>
      </c>
      <c r="D258">
        <f ca="1">Pairs!O259</f>
        <v>1</v>
      </c>
      <c r="E258" s="1">
        <v>0</v>
      </c>
    </row>
    <row r="259" spans="1:5" x14ac:dyDescent="0.25">
      <c r="A259">
        <v>1</v>
      </c>
      <c r="B259" t="str">
        <f>Pairs!G260</f>
        <v>D14-R14</v>
      </c>
      <c r="C259" t="str">
        <f>Pairs!H260</f>
        <v>D9-R9</v>
      </c>
      <c r="D259">
        <f ca="1">Pairs!O260</f>
        <v>0</v>
      </c>
      <c r="E259" s="1">
        <v>0</v>
      </c>
    </row>
    <row r="260" spans="1:5" x14ac:dyDescent="0.25">
      <c r="A260">
        <v>1</v>
      </c>
      <c r="B260" t="str">
        <f>Pairs!G261</f>
        <v>D14-R14</v>
      </c>
      <c r="C260" t="str">
        <f>Pairs!H261</f>
        <v>D10-R10</v>
      </c>
      <c r="D260">
        <f ca="1">Pairs!O261</f>
        <v>0</v>
      </c>
      <c r="E260" s="1">
        <v>0</v>
      </c>
    </row>
    <row r="261" spans="1:5" x14ac:dyDescent="0.25">
      <c r="A261">
        <v>1</v>
      </c>
      <c r="B261" t="str">
        <f>Pairs!G262</f>
        <v>D14-R14</v>
      </c>
      <c r="C261" t="str">
        <f>Pairs!H262</f>
        <v>D11-R11</v>
      </c>
      <c r="D261">
        <f ca="1">Pairs!O262</f>
        <v>1</v>
      </c>
      <c r="E261" s="1">
        <v>0</v>
      </c>
    </row>
    <row r="262" spans="1:5" x14ac:dyDescent="0.25">
      <c r="A262">
        <v>1</v>
      </c>
      <c r="B262" t="str">
        <f>Pairs!G263</f>
        <v>D14-R14</v>
      </c>
      <c r="C262" t="str">
        <f>Pairs!H263</f>
        <v>D12-R12</v>
      </c>
      <c r="D262">
        <f ca="1">Pairs!O263</f>
        <v>1</v>
      </c>
      <c r="E262" s="1">
        <v>0</v>
      </c>
    </row>
    <row r="263" spans="1:5" x14ac:dyDescent="0.25">
      <c r="A263">
        <v>1</v>
      </c>
      <c r="B263" t="str">
        <f>Pairs!G264</f>
        <v>D14-R14</v>
      </c>
      <c r="C263" t="str">
        <f>Pairs!H264</f>
        <v>D13-R13</v>
      </c>
      <c r="D263">
        <f ca="1">Pairs!O264</f>
        <v>1</v>
      </c>
      <c r="E263" s="1">
        <v>0</v>
      </c>
    </row>
    <row r="264" spans="1:5" x14ac:dyDescent="0.25">
      <c r="A264">
        <v>1</v>
      </c>
      <c r="B264" t="str">
        <f>Pairs!G265</f>
        <v>D14-R14</v>
      </c>
      <c r="C264" t="str">
        <f>Pairs!H265</f>
        <v>D15-R15</v>
      </c>
      <c r="D264">
        <f ca="1">Pairs!O265</f>
        <v>1</v>
      </c>
      <c r="E264" s="1">
        <v>0</v>
      </c>
    </row>
    <row r="265" spans="1:5" x14ac:dyDescent="0.25">
      <c r="A265">
        <v>1</v>
      </c>
      <c r="B265" t="str">
        <f>Pairs!G266</f>
        <v>D14-R14</v>
      </c>
      <c r="C265" t="str">
        <f>Pairs!H266</f>
        <v>D16-R16</v>
      </c>
      <c r="D265">
        <f ca="1">Pairs!O266</f>
        <v>1</v>
      </c>
      <c r="E265" s="1">
        <v>0</v>
      </c>
    </row>
    <row r="266" spans="1:5" x14ac:dyDescent="0.25">
      <c r="A266">
        <v>1</v>
      </c>
      <c r="B266" t="str">
        <f>Pairs!G267</f>
        <v>D14-R14</v>
      </c>
      <c r="C266" t="str">
        <f>Pairs!H267</f>
        <v>D17-R17</v>
      </c>
      <c r="D266">
        <f ca="1">Pairs!O267</f>
        <v>1</v>
      </c>
      <c r="E266" s="1">
        <v>0</v>
      </c>
    </row>
    <row r="267" spans="1:5" x14ac:dyDescent="0.25">
      <c r="A267">
        <v>1</v>
      </c>
      <c r="B267" t="str">
        <f>Pairs!G268</f>
        <v>D14-R14</v>
      </c>
      <c r="C267" t="str">
        <f>Pairs!H268</f>
        <v>D18-R18</v>
      </c>
      <c r="D267">
        <f ca="1">Pairs!O268</f>
        <v>0</v>
      </c>
      <c r="E267" s="1">
        <v>0</v>
      </c>
    </row>
    <row r="268" spans="1:5" x14ac:dyDescent="0.25">
      <c r="A268">
        <v>1</v>
      </c>
      <c r="B268" t="str">
        <f>Pairs!G269</f>
        <v>D14-R14</v>
      </c>
      <c r="C268" t="str">
        <f>Pairs!H269</f>
        <v>D19-R19</v>
      </c>
      <c r="D268">
        <f ca="1">Pairs!O269</f>
        <v>1</v>
      </c>
      <c r="E268" s="1">
        <v>0</v>
      </c>
    </row>
    <row r="269" spans="1:5" x14ac:dyDescent="0.25">
      <c r="A269">
        <v>1</v>
      </c>
      <c r="B269" t="str">
        <f>Pairs!G270</f>
        <v>D14-R14</v>
      </c>
      <c r="C269" t="str">
        <f>Pairs!H270</f>
        <v>D20-R20</v>
      </c>
      <c r="D269">
        <f ca="1">Pairs!O270</f>
        <v>1</v>
      </c>
      <c r="E269" s="1">
        <v>0</v>
      </c>
    </row>
    <row r="270" spans="1:5" x14ac:dyDescent="0.25">
      <c r="A270">
        <v>1</v>
      </c>
      <c r="B270" t="str">
        <f>Pairs!G271</f>
        <v>D15-R15</v>
      </c>
      <c r="C270" t="str">
        <f>Pairs!H271</f>
        <v>D1-R1</v>
      </c>
      <c r="D270">
        <f ca="1">Pairs!O271</f>
        <v>0</v>
      </c>
      <c r="E270" s="1">
        <v>0</v>
      </c>
    </row>
    <row r="271" spans="1:5" x14ac:dyDescent="0.25">
      <c r="A271">
        <v>1</v>
      </c>
      <c r="B271" t="str">
        <f>Pairs!G272</f>
        <v>D15-R15</v>
      </c>
      <c r="C271" t="str">
        <f>Pairs!H272</f>
        <v>D2-R2</v>
      </c>
      <c r="D271">
        <f ca="1">Pairs!O272</f>
        <v>1</v>
      </c>
      <c r="E271" s="1">
        <v>0</v>
      </c>
    </row>
    <row r="272" spans="1:5" x14ac:dyDescent="0.25">
      <c r="A272">
        <v>1</v>
      </c>
      <c r="B272" t="str">
        <f>Pairs!G273</f>
        <v>D15-R15</v>
      </c>
      <c r="C272" t="str">
        <f>Pairs!H273</f>
        <v>D3-R3</v>
      </c>
      <c r="D272">
        <f ca="1">Pairs!O273</f>
        <v>0</v>
      </c>
      <c r="E272" s="1">
        <v>0</v>
      </c>
    </row>
    <row r="273" spans="1:5" x14ac:dyDescent="0.25">
      <c r="A273">
        <v>1</v>
      </c>
      <c r="B273" t="str">
        <f>Pairs!G274</f>
        <v>D15-R15</v>
      </c>
      <c r="C273" t="str">
        <f>Pairs!H274</f>
        <v>D4-R4</v>
      </c>
      <c r="D273">
        <f ca="1">Pairs!O274</f>
        <v>1</v>
      </c>
      <c r="E273" s="1">
        <v>0</v>
      </c>
    </row>
    <row r="274" spans="1:5" x14ac:dyDescent="0.25">
      <c r="A274">
        <v>1</v>
      </c>
      <c r="B274" t="str">
        <f>Pairs!G275</f>
        <v>D15-R15</v>
      </c>
      <c r="C274" t="str">
        <f>Pairs!H275</f>
        <v>D5-R5</v>
      </c>
      <c r="D274">
        <f ca="1">Pairs!O275</f>
        <v>0</v>
      </c>
      <c r="E274" s="1">
        <v>0</v>
      </c>
    </row>
    <row r="275" spans="1:5" x14ac:dyDescent="0.25">
      <c r="A275">
        <v>1</v>
      </c>
      <c r="B275" t="str">
        <f>Pairs!G276</f>
        <v>D15-R15</v>
      </c>
      <c r="C275" t="str">
        <f>Pairs!H276</f>
        <v>D6-R6</v>
      </c>
      <c r="D275">
        <f ca="1">Pairs!O276</f>
        <v>1</v>
      </c>
      <c r="E275" s="1">
        <v>0</v>
      </c>
    </row>
    <row r="276" spans="1:5" x14ac:dyDescent="0.25">
      <c r="A276">
        <v>1</v>
      </c>
      <c r="B276" t="str">
        <f>Pairs!G277</f>
        <v>D15-R15</v>
      </c>
      <c r="C276" t="str">
        <f>Pairs!H277</f>
        <v>D7-R7</v>
      </c>
      <c r="D276">
        <f ca="1">Pairs!O277</f>
        <v>0</v>
      </c>
      <c r="E276" s="1">
        <v>0</v>
      </c>
    </row>
    <row r="277" spans="1:5" x14ac:dyDescent="0.25">
      <c r="A277">
        <v>1</v>
      </c>
      <c r="B277" t="str">
        <f>Pairs!G278</f>
        <v>D15-R15</v>
      </c>
      <c r="C277" t="str">
        <f>Pairs!H278</f>
        <v>D8-R8</v>
      </c>
      <c r="D277">
        <f ca="1">Pairs!O278</f>
        <v>0</v>
      </c>
      <c r="E277" s="1">
        <v>0</v>
      </c>
    </row>
    <row r="278" spans="1:5" x14ac:dyDescent="0.25">
      <c r="A278">
        <v>1</v>
      </c>
      <c r="B278" t="str">
        <f>Pairs!G279</f>
        <v>D15-R15</v>
      </c>
      <c r="C278" t="str">
        <f>Pairs!H279</f>
        <v>D9-R9</v>
      </c>
      <c r="D278">
        <f ca="1">Pairs!O279</f>
        <v>1</v>
      </c>
      <c r="E278" s="1">
        <v>0</v>
      </c>
    </row>
    <row r="279" spans="1:5" x14ac:dyDescent="0.25">
      <c r="A279">
        <v>1</v>
      </c>
      <c r="B279" t="str">
        <f>Pairs!G280</f>
        <v>D15-R15</v>
      </c>
      <c r="C279" t="str">
        <f>Pairs!H280</f>
        <v>D10-R10</v>
      </c>
      <c r="D279">
        <f ca="1">Pairs!O280</f>
        <v>1</v>
      </c>
      <c r="E279" s="1">
        <v>0</v>
      </c>
    </row>
    <row r="280" spans="1:5" x14ac:dyDescent="0.25">
      <c r="A280">
        <v>1</v>
      </c>
      <c r="B280" t="str">
        <f>Pairs!G281</f>
        <v>D15-R15</v>
      </c>
      <c r="C280" t="str">
        <f>Pairs!H281</f>
        <v>D11-R11</v>
      </c>
      <c r="D280">
        <f ca="1">Pairs!O281</f>
        <v>1</v>
      </c>
      <c r="E280" s="1">
        <v>0</v>
      </c>
    </row>
    <row r="281" spans="1:5" x14ac:dyDescent="0.25">
      <c r="A281">
        <v>1</v>
      </c>
      <c r="B281" t="str">
        <f>Pairs!G282</f>
        <v>D15-R15</v>
      </c>
      <c r="C281" t="str">
        <f>Pairs!H282</f>
        <v>D12-R12</v>
      </c>
      <c r="D281">
        <f ca="1">Pairs!O282</f>
        <v>0</v>
      </c>
      <c r="E281" s="1">
        <v>0</v>
      </c>
    </row>
    <row r="282" spans="1:5" x14ac:dyDescent="0.25">
      <c r="A282">
        <v>1</v>
      </c>
      <c r="B282" t="str">
        <f>Pairs!G283</f>
        <v>D15-R15</v>
      </c>
      <c r="C282" t="str">
        <f>Pairs!H283</f>
        <v>D13-R13</v>
      </c>
      <c r="D282">
        <f ca="1">Pairs!O283</f>
        <v>1</v>
      </c>
      <c r="E282" s="1">
        <v>0</v>
      </c>
    </row>
    <row r="283" spans="1:5" x14ac:dyDescent="0.25">
      <c r="A283">
        <v>1</v>
      </c>
      <c r="B283" t="str">
        <f>Pairs!G284</f>
        <v>D15-R15</v>
      </c>
      <c r="C283" t="str">
        <f>Pairs!H284</f>
        <v>D14-R14</v>
      </c>
      <c r="D283">
        <f ca="1">Pairs!O284</f>
        <v>0</v>
      </c>
      <c r="E283" s="1">
        <v>0</v>
      </c>
    </row>
    <row r="284" spans="1:5" x14ac:dyDescent="0.25">
      <c r="A284">
        <v>1</v>
      </c>
      <c r="B284" t="str">
        <f>Pairs!G285</f>
        <v>D15-R15</v>
      </c>
      <c r="C284" t="str">
        <f>Pairs!H285</f>
        <v>D16-R16</v>
      </c>
      <c r="D284">
        <f ca="1">Pairs!O285</f>
        <v>0</v>
      </c>
      <c r="E284" s="1">
        <v>0</v>
      </c>
    </row>
    <row r="285" spans="1:5" x14ac:dyDescent="0.25">
      <c r="A285">
        <v>1</v>
      </c>
      <c r="B285" t="str">
        <f>Pairs!G286</f>
        <v>D15-R15</v>
      </c>
      <c r="C285" t="str">
        <f>Pairs!H286</f>
        <v>D17-R17</v>
      </c>
      <c r="D285">
        <f ca="1">Pairs!O286</f>
        <v>0</v>
      </c>
      <c r="E285" s="1">
        <v>0</v>
      </c>
    </row>
    <row r="286" spans="1:5" x14ac:dyDescent="0.25">
      <c r="A286">
        <v>1</v>
      </c>
      <c r="B286" t="str">
        <f>Pairs!G287</f>
        <v>D15-R15</v>
      </c>
      <c r="C286" t="str">
        <f>Pairs!H287</f>
        <v>D18-R18</v>
      </c>
      <c r="D286">
        <f ca="1">Pairs!O287</f>
        <v>0</v>
      </c>
      <c r="E286" s="1">
        <v>0</v>
      </c>
    </row>
    <row r="287" spans="1:5" x14ac:dyDescent="0.25">
      <c r="A287">
        <v>1</v>
      </c>
      <c r="B287" t="str">
        <f>Pairs!G288</f>
        <v>D15-R15</v>
      </c>
      <c r="C287" t="str">
        <f>Pairs!H288</f>
        <v>D19-R19</v>
      </c>
      <c r="D287">
        <f ca="1">Pairs!O288</f>
        <v>0</v>
      </c>
      <c r="E287" s="1">
        <v>0</v>
      </c>
    </row>
    <row r="288" spans="1:5" x14ac:dyDescent="0.25">
      <c r="A288">
        <v>1</v>
      </c>
      <c r="B288" t="str">
        <f>Pairs!G289</f>
        <v>D15-R15</v>
      </c>
      <c r="C288" t="str">
        <f>Pairs!H289</f>
        <v>D20-R20</v>
      </c>
      <c r="D288">
        <f ca="1">Pairs!O289</f>
        <v>0</v>
      </c>
      <c r="E288" s="1">
        <v>0</v>
      </c>
    </row>
    <row r="289" spans="1:5" x14ac:dyDescent="0.25">
      <c r="A289">
        <v>1</v>
      </c>
      <c r="B289" t="str">
        <f>Pairs!G290</f>
        <v>D16-R16</v>
      </c>
      <c r="C289" t="str">
        <f>Pairs!H290</f>
        <v>D1-R1</v>
      </c>
      <c r="D289">
        <f ca="1">Pairs!O290</f>
        <v>0</v>
      </c>
      <c r="E289" s="1">
        <v>0</v>
      </c>
    </row>
    <row r="290" spans="1:5" x14ac:dyDescent="0.25">
      <c r="A290">
        <v>1</v>
      </c>
      <c r="B290" t="str">
        <f>Pairs!G291</f>
        <v>D16-R16</v>
      </c>
      <c r="C290" t="str">
        <f>Pairs!H291</f>
        <v>D2-R2</v>
      </c>
      <c r="D290">
        <f ca="1">Pairs!O291</f>
        <v>1</v>
      </c>
      <c r="E290" s="1">
        <v>0</v>
      </c>
    </row>
    <row r="291" spans="1:5" x14ac:dyDescent="0.25">
      <c r="A291">
        <v>1</v>
      </c>
      <c r="B291" t="str">
        <f>Pairs!G292</f>
        <v>D16-R16</v>
      </c>
      <c r="C291" t="str">
        <f>Pairs!H292</f>
        <v>D3-R3</v>
      </c>
      <c r="D291">
        <f ca="1">Pairs!O292</f>
        <v>0</v>
      </c>
      <c r="E291" s="1">
        <v>0</v>
      </c>
    </row>
    <row r="292" spans="1:5" x14ac:dyDescent="0.25">
      <c r="A292">
        <v>1</v>
      </c>
      <c r="B292" t="str">
        <f>Pairs!G293</f>
        <v>D16-R16</v>
      </c>
      <c r="C292" t="str">
        <f>Pairs!H293</f>
        <v>D4-R4</v>
      </c>
      <c r="D292">
        <f ca="1">Pairs!O293</f>
        <v>1</v>
      </c>
      <c r="E292" s="1">
        <v>0</v>
      </c>
    </row>
    <row r="293" spans="1:5" x14ac:dyDescent="0.25">
      <c r="A293">
        <v>1</v>
      </c>
      <c r="B293" t="str">
        <f>Pairs!G294</f>
        <v>D16-R16</v>
      </c>
      <c r="C293" t="str">
        <f>Pairs!H294</f>
        <v>D5-R5</v>
      </c>
      <c r="D293">
        <f ca="1">Pairs!O294</f>
        <v>0</v>
      </c>
      <c r="E293" s="1">
        <v>0</v>
      </c>
    </row>
    <row r="294" spans="1:5" x14ac:dyDescent="0.25">
      <c r="A294">
        <v>1</v>
      </c>
      <c r="B294" t="str">
        <f>Pairs!G295</f>
        <v>D16-R16</v>
      </c>
      <c r="C294" t="str">
        <f>Pairs!H295</f>
        <v>D6-R6</v>
      </c>
      <c r="D294">
        <f ca="1">Pairs!O295</f>
        <v>1</v>
      </c>
      <c r="E294" s="1">
        <v>0</v>
      </c>
    </row>
    <row r="295" spans="1:5" x14ac:dyDescent="0.25">
      <c r="A295">
        <v>1</v>
      </c>
      <c r="B295" t="str">
        <f>Pairs!G296</f>
        <v>D16-R16</v>
      </c>
      <c r="C295" t="str">
        <f>Pairs!H296</f>
        <v>D7-R7</v>
      </c>
      <c r="D295">
        <f ca="1">Pairs!O296</f>
        <v>0</v>
      </c>
      <c r="E295" s="1">
        <v>0</v>
      </c>
    </row>
    <row r="296" spans="1:5" x14ac:dyDescent="0.25">
      <c r="A296">
        <v>1</v>
      </c>
      <c r="B296" t="str">
        <f>Pairs!G297</f>
        <v>D16-R16</v>
      </c>
      <c r="C296" t="str">
        <f>Pairs!H297</f>
        <v>D8-R8</v>
      </c>
      <c r="D296">
        <f ca="1">Pairs!O297</f>
        <v>0</v>
      </c>
      <c r="E296" s="1">
        <v>0</v>
      </c>
    </row>
    <row r="297" spans="1:5" x14ac:dyDescent="0.25">
      <c r="A297">
        <v>1</v>
      </c>
      <c r="B297" t="str">
        <f>Pairs!G298</f>
        <v>D16-R16</v>
      </c>
      <c r="C297" t="str">
        <f>Pairs!H298</f>
        <v>D9-R9</v>
      </c>
      <c r="D297">
        <f ca="1">Pairs!O298</f>
        <v>1</v>
      </c>
      <c r="E297" s="1">
        <v>0</v>
      </c>
    </row>
    <row r="298" spans="1:5" x14ac:dyDescent="0.25">
      <c r="A298">
        <v>1</v>
      </c>
      <c r="B298" t="str">
        <f>Pairs!G299</f>
        <v>D16-R16</v>
      </c>
      <c r="C298" t="str">
        <f>Pairs!H299</f>
        <v>D10-R10</v>
      </c>
      <c r="D298">
        <f ca="1">Pairs!O299</f>
        <v>1</v>
      </c>
      <c r="E298" s="1">
        <v>0</v>
      </c>
    </row>
    <row r="299" spans="1:5" x14ac:dyDescent="0.25">
      <c r="A299">
        <v>1</v>
      </c>
      <c r="B299" t="str">
        <f>Pairs!G300</f>
        <v>D16-R16</v>
      </c>
      <c r="C299" t="str">
        <f>Pairs!H300</f>
        <v>D11-R11</v>
      </c>
      <c r="D299">
        <f ca="1">Pairs!O300</f>
        <v>1</v>
      </c>
      <c r="E299" s="1">
        <v>0</v>
      </c>
    </row>
    <row r="300" spans="1:5" x14ac:dyDescent="0.25">
      <c r="A300">
        <v>1</v>
      </c>
      <c r="B300" t="str">
        <f>Pairs!G301</f>
        <v>D16-R16</v>
      </c>
      <c r="C300" t="str">
        <f>Pairs!H301</f>
        <v>D12-R12</v>
      </c>
      <c r="D300">
        <f ca="1">Pairs!O301</f>
        <v>0</v>
      </c>
      <c r="E300" s="1">
        <v>0</v>
      </c>
    </row>
    <row r="301" spans="1:5" x14ac:dyDescent="0.25">
      <c r="A301">
        <v>1</v>
      </c>
      <c r="B301" t="str">
        <f>Pairs!G302</f>
        <v>D16-R16</v>
      </c>
      <c r="C301" t="str">
        <f>Pairs!H302</f>
        <v>D13-R13</v>
      </c>
      <c r="D301">
        <f ca="1">Pairs!O302</f>
        <v>1</v>
      </c>
      <c r="E301" s="1">
        <v>0</v>
      </c>
    </row>
    <row r="302" spans="1:5" x14ac:dyDescent="0.25">
      <c r="A302">
        <v>1</v>
      </c>
      <c r="B302" t="str">
        <f>Pairs!G303</f>
        <v>D16-R16</v>
      </c>
      <c r="C302" t="str">
        <f>Pairs!H303</f>
        <v>D14-R14</v>
      </c>
      <c r="D302">
        <f ca="1">Pairs!O303</f>
        <v>0</v>
      </c>
      <c r="E302" s="1">
        <v>0</v>
      </c>
    </row>
    <row r="303" spans="1:5" x14ac:dyDescent="0.25">
      <c r="A303">
        <v>1</v>
      </c>
      <c r="B303" t="str">
        <f>Pairs!G304</f>
        <v>D16-R16</v>
      </c>
      <c r="C303" t="str">
        <f>Pairs!H304</f>
        <v>D15-R15</v>
      </c>
      <c r="D303">
        <f ca="1">Pairs!O304</f>
        <v>0</v>
      </c>
      <c r="E303" s="1">
        <v>0</v>
      </c>
    </row>
    <row r="304" spans="1:5" x14ac:dyDescent="0.25">
      <c r="A304">
        <v>1</v>
      </c>
      <c r="B304" t="str">
        <f>Pairs!G305</f>
        <v>D16-R16</v>
      </c>
      <c r="C304" t="str">
        <f>Pairs!H305</f>
        <v>D17-R17</v>
      </c>
      <c r="D304">
        <f ca="1">Pairs!O305</f>
        <v>0</v>
      </c>
      <c r="E304" s="1">
        <v>0</v>
      </c>
    </row>
    <row r="305" spans="1:5" x14ac:dyDescent="0.25">
      <c r="A305">
        <v>1</v>
      </c>
      <c r="B305" t="str">
        <f>Pairs!G306</f>
        <v>D16-R16</v>
      </c>
      <c r="C305" t="str">
        <f>Pairs!H306</f>
        <v>D18-R18</v>
      </c>
      <c r="D305">
        <f ca="1">Pairs!O306</f>
        <v>0</v>
      </c>
      <c r="E305" s="1">
        <v>0</v>
      </c>
    </row>
    <row r="306" spans="1:5" x14ac:dyDescent="0.25">
      <c r="A306">
        <v>1</v>
      </c>
      <c r="B306" t="str">
        <f>Pairs!G307</f>
        <v>D16-R16</v>
      </c>
      <c r="C306" t="str">
        <f>Pairs!H307</f>
        <v>D19-R19</v>
      </c>
      <c r="D306">
        <f ca="1">Pairs!O307</f>
        <v>0</v>
      </c>
      <c r="E306" s="1">
        <v>0</v>
      </c>
    </row>
    <row r="307" spans="1:5" x14ac:dyDescent="0.25">
      <c r="A307">
        <v>1</v>
      </c>
      <c r="B307" t="str">
        <f>Pairs!G308</f>
        <v>D16-R16</v>
      </c>
      <c r="C307" t="str">
        <f>Pairs!H308</f>
        <v>D20-R20</v>
      </c>
      <c r="D307">
        <f ca="1">Pairs!O308</f>
        <v>0</v>
      </c>
      <c r="E307" s="1">
        <v>0</v>
      </c>
    </row>
    <row r="308" spans="1:5" x14ac:dyDescent="0.25">
      <c r="A308">
        <v>1</v>
      </c>
      <c r="B308" t="str">
        <f>Pairs!G309</f>
        <v>D17-R17</v>
      </c>
      <c r="C308" t="str">
        <f>Pairs!H309</f>
        <v>D1-R1</v>
      </c>
      <c r="D308">
        <f ca="1">Pairs!O309</f>
        <v>1</v>
      </c>
      <c r="E308" s="1">
        <v>0</v>
      </c>
    </row>
    <row r="309" spans="1:5" x14ac:dyDescent="0.25">
      <c r="A309">
        <v>1</v>
      </c>
      <c r="B309" t="str">
        <f>Pairs!G310</f>
        <v>D17-R17</v>
      </c>
      <c r="C309" t="str">
        <f>Pairs!H310</f>
        <v>D2-R2</v>
      </c>
      <c r="D309">
        <f ca="1">Pairs!O310</f>
        <v>1</v>
      </c>
      <c r="E309" s="1">
        <v>0</v>
      </c>
    </row>
    <row r="310" spans="1:5" x14ac:dyDescent="0.25">
      <c r="A310">
        <v>1</v>
      </c>
      <c r="B310" t="str">
        <f>Pairs!G311</f>
        <v>D17-R17</v>
      </c>
      <c r="C310" t="str">
        <f>Pairs!H311</f>
        <v>D3-R3</v>
      </c>
      <c r="D310">
        <f ca="1">Pairs!O311</f>
        <v>1</v>
      </c>
      <c r="E310" s="1">
        <v>0</v>
      </c>
    </row>
    <row r="311" spans="1:5" x14ac:dyDescent="0.25">
      <c r="A311">
        <v>1</v>
      </c>
      <c r="B311" t="str">
        <f>Pairs!G312</f>
        <v>D17-R17</v>
      </c>
      <c r="C311" t="str">
        <f>Pairs!H312</f>
        <v>D4-R4</v>
      </c>
      <c r="D311">
        <f ca="1">Pairs!O312</f>
        <v>1</v>
      </c>
      <c r="E311" s="1">
        <v>0</v>
      </c>
    </row>
    <row r="312" spans="1:5" x14ac:dyDescent="0.25">
      <c r="A312">
        <v>1</v>
      </c>
      <c r="B312" t="str">
        <f>Pairs!G313</f>
        <v>D17-R17</v>
      </c>
      <c r="C312" t="str">
        <f>Pairs!H313</f>
        <v>D5-R5</v>
      </c>
      <c r="D312">
        <f ca="1">Pairs!O313</f>
        <v>1</v>
      </c>
      <c r="E312" s="1">
        <v>0</v>
      </c>
    </row>
    <row r="313" spans="1:5" x14ac:dyDescent="0.25">
      <c r="A313">
        <v>1</v>
      </c>
      <c r="B313" t="str">
        <f>Pairs!G314</f>
        <v>D17-R17</v>
      </c>
      <c r="C313" t="str">
        <f>Pairs!H314</f>
        <v>D6-R6</v>
      </c>
      <c r="D313">
        <f ca="1">Pairs!O314</f>
        <v>1</v>
      </c>
      <c r="E313" s="1">
        <v>0</v>
      </c>
    </row>
    <row r="314" spans="1:5" x14ac:dyDescent="0.25">
      <c r="A314">
        <v>1</v>
      </c>
      <c r="B314" t="str">
        <f>Pairs!G315</f>
        <v>D17-R17</v>
      </c>
      <c r="C314" t="str">
        <f>Pairs!H315</f>
        <v>D7-R7</v>
      </c>
      <c r="D314">
        <f ca="1">Pairs!O315</f>
        <v>1</v>
      </c>
      <c r="E314" s="1">
        <v>0</v>
      </c>
    </row>
    <row r="315" spans="1:5" x14ac:dyDescent="0.25">
      <c r="A315">
        <v>1</v>
      </c>
      <c r="B315" t="str">
        <f>Pairs!G316</f>
        <v>D17-R17</v>
      </c>
      <c r="C315" t="str">
        <f>Pairs!H316</f>
        <v>D8-R8</v>
      </c>
      <c r="D315">
        <f ca="1">Pairs!O316</f>
        <v>1</v>
      </c>
      <c r="E315" s="1">
        <v>0</v>
      </c>
    </row>
    <row r="316" spans="1:5" x14ac:dyDescent="0.25">
      <c r="A316">
        <v>1</v>
      </c>
      <c r="B316" t="str">
        <f>Pairs!G317</f>
        <v>D17-R17</v>
      </c>
      <c r="C316" t="str">
        <f>Pairs!H317</f>
        <v>D9-R9</v>
      </c>
      <c r="D316">
        <f ca="1">Pairs!O317</f>
        <v>1</v>
      </c>
      <c r="E316" s="1">
        <v>0</v>
      </c>
    </row>
    <row r="317" spans="1:5" x14ac:dyDescent="0.25">
      <c r="A317">
        <v>1</v>
      </c>
      <c r="B317" t="str">
        <f>Pairs!G318</f>
        <v>D17-R17</v>
      </c>
      <c r="C317" t="str">
        <f>Pairs!H318</f>
        <v>D10-R10</v>
      </c>
      <c r="D317">
        <f ca="1">Pairs!O318</f>
        <v>1</v>
      </c>
      <c r="E317" s="1">
        <v>0</v>
      </c>
    </row>
    <row r="318" spans="1:5" x14ac:dyDescent="0.25">
      <c r="A318">
        <v>1</v>
      </c>
      <c r="B318" t="str">
        <f>Pairs!G319</f>
        <v>D17-R17</v>
      </c>
      <c r="C318" t="str">
        <f>Pairs!H319</f>
        <v>D11-R11</v>
      </c>
      <c r="D318">
        <f ca="1">Pairs!O319</f>
        <v>1</v>
      </c>
      <c r="E318" s="1">
        <v>0</v>
      </c>
    </row>
    <row r="319" spans="1:5" x14ac:dyDescent="0.25">
      <c r="A319">
        <v>1</v>
      </c>
      <c r="B319" t="str">
        <f>Pairs!G320</f>
        <v>D17-R17</v>
      </c>
      <c r="C319" t="str">
        <f>Pairs!H320</f>
        <v>D12-R12</v>
      </c>
      <c r="D319">
        <f ca="1">Pairs!O320</f>
        <v>1</v>
      </c>
      <c r="E319" s="1">
        <v>0</v>
      </c>
    </row>
    <row r="320" spans="1:5" x14ac:dyDescent="0.25">
      <c r="A320">
        <v>1</v>
      </c>
      <c r="B320" t="str">
        <f>Pairs!G321</f>
        <v>D17-R17</v>
      </c>
      <c r="C320" t="str">
        <f>Pairs!H321</f>
        <v>D13-R13</v>
      </c>
      <c r="D320">
        <f ca="1">Pairs!O321</f>
        <v>1</v>
      </c>
      <c r="E320" s="1">
        <v>0</v>
      </c>
    </row>
    <row r="321" spans="1:5" x14ac:dyDescent="0.25">
      <c r="A321">
        <v>1</v>
      </c>
      <c r="B321" t="str">
        <f>Pairs!G322</f>
        <v>D17-R17</v>
      </c>
      <c r="C321" t="str">
        <f>Pairs!H322</f>
        <v>D14-R14</v>
      </c>
      <c r="D321">
        <f ca="1">Pairs!O322</f>
        <v>1</v>
      </c>
      <c r="E321" s="1">
        <v>0</v>
      </c>
    </row>
    <row r="322" spans="1:5" x14ac:dyDescent="0.25">
      <c r="A322">
        <v>1</v>
      </c>
      <c r="B322" t="str">
        <f>Pairs!G323</f>
        <v>D17-R17</v>
      </c>
      <c r="C322" t="str">
        <f>Pairs!H323</f>
        <v>D15-R15</v>
      </c>
      <c r="D322">
        <f ca="1">Pairs!O323</f>
        <v>1</v>
      </c>
      <c r="E322" s="1">
        <v>0</v>
      </c>
    </row>
    <row r="323" spans="1:5" x14ac:dyDescent="0.25">
      <c r="A323">
        <v>1</v>
      </c>
      <c r="B323" t="str">
        <f>Pairs!G324</f>
        <v>D17-R17</v>
      </c>
      <c r="C323" t="str">
        <f>Pairs!H324</f>
        <v>D16-R16</v>
      </c>
      <c r="D323">
        <f ca="1">Pairs!O324</f>
        <v>1</v>
      </c>
      <c r="E323" s="1">
        <v>0</v>
      </c>
    </row>
    <row r="324" spans="1:5" x14ac:dyDescent="0.25">
      <c r="A324">
        <v>1</v>
      </c>
      <c r="B324" t="str">
        <f>Pairs!G325</f>
        <v>D17-R17</v>
      </c>
      <c r="C324" t="str">
        <f>Pairs!H325</f>
        <v>D18-R18</v>
      </c>
      <c r="D324">
        <f ca="1">Pairs!O325</f>
        <v>1</v>
      </c>
      <c r="E324" s="1">
        <v>0</v>
      </c>
    </row>
    <row r="325" spans="1:5" x14ac:dyDescent="0.25">
      <c r="A325">
        <v>1</v>
      </c>
      <c r="B325" t="str">
        <f>Pairs!G326</f>
        <v>D17-R17</v>
      </c>
      <c r="C325" t="str">
        <f>Pairs!H326</f>
        <v>D19-R19</v>
      </c>
      <c r="D325">
        <f ca="1">Pairs!O326</f>
        <v>1</v>
      </c>
      <c r="E325" s="1">
        <v>0</v>
      </c>
    </row>
    <row r="326" spans="1:5" x14ac:dyDescent="0.25">
      <c r="A326">
        <v>1</v>
      </c>
      <c r="B326" t="str">
        <f>Pairs!G327</f>
        <v>D17-R17</v>
      </c>
      <c r="C326" t="str">
        <f>Pairs!H327</f>
        <v>D20-R20</v>
      </c>
      <c r="D326">
        <f ca="1">Pairs!O327</f>
        <v>1</v>
      </c>
      <c r="E326" s="1">
        <v>0</v>
      </c>
    </row>
    <row r="327" spans="1:5" x14ac:dyDescent="0.25">
      <c r="A327">
        <v>1</v>
      </c>
      <c r="B327" t="str">
        <f>Pairs!G328</f>
        <v>D18-R18</v>
      </c>
      <c r="C327" t="str">
        <f>Pairs!H328</f>
        <v>D1-R1</v>
      </c>
      <c r="D327">
        <f ca="1">Pairs!O328</f>
        <v>0</v>
      </c>
      <c r="E327" s="1">
        <v>0</v>
      </c>
    </row>
    <row r="328" spans="1:5" x14ac:dyDescent="0.25">
      <c r="A328">
        <v>1</v>
      </c>
      <c r="B328" t="str">
        <f>Pairs!G329</f>
        <v>D18-R18</v>
      </c>
      <c r="C328" t="str">
        <f>Pairs!H329</f>
        <v>D2-R2</v>
      </c>
      <c r="D328">
        <f ca="1">Pairs!O329</f>
        <v>1</v>
      </c>
      <c r="E328" s="1">
        <v>0</v>
      </c>
    </row>
    <row r="329" spans="1:5" x14ac:dyDescent="0.25">
      <c r="A329">
        <v>1</v>
      </c>
      <c r="B329" t="str">
        <f>Pairs!G330</f>
        <v>D18-R18</v>
      </c>
      <c r="C329" t="str">
        <f>Pairs!H330</f>
        <v>D3-R3</v>
      </c>
      <c r="D329">
        <f ca="1">Pairs!O330</f>
        <v>0</v>
      </c>
      <c r="E329" s="1">
        <v>0</v>
      </c>
    </row>
    <row r="330" spans="1:5" x14ac:dyDescent="0.25">
      <c r="A330">
        <v>1</v>
      </c>
      <c r="B330" t="str">
        <f>Pairs!G331</f>
        <v>D18-R18</v>
      </c>
      <c r="C330" t="str">
        <f>Pairs!H331</f>
        <v>D4-R4</v>
      </c>
      <c r="D330">
        <f ca="1">Pairs!O331</f>
        <v>0</v>
      </c>
      <c r="E330" s="1">
        <v>0</v>
      </c>
    </row>
    <row r="331" spans="1:5" x14ac:dyDescent="0.25">
      <c r="A331">
        <v>1</v>
      </c>
      <c r="B331" t="str">
        <f>Pairs!G332</f>
        <v>D18-R18</v>
      </c>
      <c r="C331" t="str">
        <f>Pairs!H332</f>
        <v>D5-R5</v>
      </c>
      <c r="D331">
        <f ca="1">Pairs!O332</f>
        <v>1</v>
      </c>
      <c r="E331" s="1">
        <v>0</v>
      </c>
    </row>
    <row r="332" spans="1:5" x14ac:dyDescent="0.25">
      <c r="A332">
        <v>1</v>
      </c>
      <c r="B332" t="str">
        <f>Pairs!G333</f>
        <v>D18-R18</v>
      </c>
      <c r="C332" t="str">
        <f>Pairs!H333</f>
        <v>D6-R6</v>
      </c>
      <c r="D332">
        <f ca="1">Pairs!O333</f>
        <v>1</v>
      </c>
      <c r="E332" s="1">
        <v>0</v>
      </c>
    </row>
    <row r="333" spans="1:5" x14ac:dyDescent="0.25">
      <c r="A333">
        <v>1</v>
      </c>
      <c r="B333" t="str">
        <f>Pairs!G334</f>
        <v>D18-R18</v>
      </c>
      <c r="C333" t="str">
        <f>Pairs!H334</f>
        <v>D7-R7</v>
      </c>
      <c r="D333">
        <f ca="1">Pairs!O334</f>
        <v>0</v>
      </c>
      <c r="E333" s="1">
        <v>0</v>
      </c>
    </row>
    <row r="334" spans="1:5" x14ac:dyDescent="0.25">
      <c r="A334">
        <v>1</v>
      </c>
      <c r="B334" t="str">
        <f>Pairs!G335</f>
        <v>D18-R18</v>
      </c>
      <c r="C334" t="str">
        <f>Pairs!H335</f>
        <v>D8-R8</v>
      </c>
      <c r="D334">
        <f ca="1">Pairs!O335</f>
        <v>0</v>
      </c>
      <c r="E334" s="1">
        <v>0</v>
      </c>
    </row>
    <row r="335" spans="1:5" x14ac:dyDescent="0.25">
      <c r="A335">
        <v>1</v>
      </c>
      <c r="B335" t="str">
        <f>Pairs!G336</f>
        <v>D18-R18</v>
      </c>
      <c r="C335" t="str">
        <f>Pairs!H336</f>
        <v>D9-R9</v>
      </c>
      <c r="D335">
        <f ca="1">Pairs!O336</f>
        <v>0</v>
      </c>
      <c r="E335" s="1">
        <v>0</v>
      </c>
    </row>
    <row r="336" spans="1:5" x14ac:dyDescent="0.25">
      <c r="A336">
        <v>1</v>
      </c>
      <c r="B336" t="str">
        <f>Pairs!G337</f>
        <v>D18-R18</v>
      </c>
      <c r="C336" t="str">
        <f>Pairs!H337</f>
        <v>D10-R10</v>
      </c>
      <c r="D336">
        <f ca="1">Pairs!O337</f>
        <v>0</v>
      </c>
      <c r="E336" s="1">
        <v>0</v>
      </c>
    </row>
    <row r="337" spans="1:5" x14ac:dyDescent="0.25">
      <c r="A337">
        <v>1</v>
      </c>
      <c r="B337" t="str">
        <f>Pairs!G338</f>
        <v>D18-R18</v>
      </c>
      <c r="C337" t="str">
        <f>Pairs!H338</f>
        <v>D11-R11</v>
      </c>
      <c r="D337">
        <f ca="1">Pairs!O338</f>
        <v>1</v>
      </c>
      <c r="E337" s="1">
        <v>0</v>
      </c>
    </row>
    <row r="338" spans="1:5" x14ac:dyDescent="0.25">
      <c r="A338">
        <v>1</v>
      </c>
      <c r="B338" t="str">
        <f>Pairs!G339</f>
        <v>D18-R18</v>
      </c>
      <c r="C338" t="str">
        <f>Pairs!H339</f>
        <v>D12-R12</v>
      </c>
      <c r="D338">
        <f ca="1">Pairs!O339</f>
        <v>0</v>
      </c>
      <c r="E338" s="1">
        <v>0</v>
      </c>
    </row>
    <row r="339" spans="1:5" x14ac:dyDescent="0.25">
      <c r="A339">
        <v>1</v>
      </c>
      <c r="B339" t="str">
        <f>Pairs!G340</f>
        <v>D18-R18</v>
      </c>
      <c r="C339" t="str">
        <f>Pairs!H340</f>
        <v>D13-R13</v>
      </c>
      <c r="D339">
        <f ca="1">Pairs!O340</f>
        <v>1</v>
      </c>
      <c r="E339" s="1">
        <v>0</v>
      </c>
    </row>
    <row r="340" spans="1:5" x14ac:dyDescent="0.25">
      <c r="A340">
        <v>1</v>
      </c>
      <c r="B340" t="str">
        <f>Pairs!G341</f>
        <v>D18-R18</v>
      </c>
      <c r="C340" t="str">
        <f>Pairs!H341</f>
        <v>D14-R14</v>
      </c>
      <c r="D340">
        <f ca="1">Pairs!O341</f>
        <v>0</v>
      </c>
      <c r="E340" s="1">
        <v>0</v>
      </c>
    </row>
    <row r="341" spans="1:5" x14ac:dyDescent="0.25">
      <c r="A341">
        <v>1</v>
      </c>
      <c r="B341" t="str">
        <f>Pairs!G342</f>
        <v>D18-R18</v>
      </c>
      <c r="C341" t="str">
        <f>Pairs!H342</f>
        <v>D15-R15</v>
      </c>
      <c r="D341">
        <f ca="1">Pairs!O342</f>
        <v>0</v>
      </c>
      <c r="E341" s="1">
        <v>0</v>
      </c>
    </row>
    <row r="342" spans="1:5" x14ac:dyDescent="0.25">
      <c r="A342">
        <v>1</v>
      </c>
      <c r="B342" t="str">
        <f>Pairs!G343</f>
        <v>D18-R18</v>
      </c>
      <c r="C342" t="str">
        <f>Pairs!H343</f>
        <v>D16-R16</v>
      </c>
      <c r="D342">
        <f ca="1">Pairs!O343</f>
        <v>0</v>
      </c>
      <c r="E342" s="1">
        <v>0</v>
      </c>
    </row>
    <row r="343" spans="1:5" x14ac:dyDescent="0.25">
      <c r="A343">
        <v>1</v>
      </c>
      <c r="B343" t="str">
        <f>Pairs!G344</f>
        <v>D18-R18</v>
      </c>
      <c r="C343" t="str">
        <f>Pairs!H344</f>
        <v>D17-R17</v>
      </c>
      <c r="D343">
        <f ca="1">Pairs!O344</f>
        <v>0</v>
      </c>
      <c r="E343" s="1">
        <v>0</v>
      </c>
    </row>
    <row r="344" spans="1:5" x14ac:dyDescent="0.25">
      <c r="A344">
        <v>1</v>
      </c>
      <c r="B344" t="str">
        <f>Pairs!G345</f>
        <v>D18-R18</v>
      </c>
      <c r="C344" t="str">
        <f>Pairs!H345</f>
        <v>D19-R19</v>
      </c>
      <c r="D344">
        <f ca="1">Pairs!O345</f>
        <v>0</v>
      </c>
      <c r="E344" s="1">
        <v>0</v>
      </c>
    </row>
    <row r="345" spans="1:5" x14ac:dyDescent="0.25">
      <c r="A345">
        <v>1</v>
      </c>
      <c r="B345" t="str">
        <f>Pairs!G346</f>
        <v>D18-R18</v>
      </c>
      <c r="C345" t="str">
        <f>Pairs!H346</f>
        <v>D20-R20</v>
      </c>
      <c r="D345">
        <f ca="1">Pairs!O346</f>
        <v>1</v>
      </c>
      <c r="E345" s="1">
        <v>0</v>
      </c>
    </row>
    <row r="346" spans="1:5" x14ac:dyDescent="0.25">
      <c r="A346">
        <v>1</v>
      </c>
      <c r="B346" t="str">
        <f>Pairs!G347</f>
        <v>D19-R19</v>
      </c>
      <c r="C346" t="str">
        <f>Pairs!H347</f>
        <v>D1-R1</v>
      </c>
      <c r="D346">
        <f ca="1">Pairs!O347</f>
        <v>0</v>
      </c>
      <c r="E346" s="1">
        <v>0</v>
      </c>
    </row>
    <row r="347" spans="1:5" x14ac:dyDescent="0.25">
      <c r="A347">
        <v>1</v>
      </c>
      <c r="B347" t="str">
        <f>Pairs!G348</f>
        <v>D19-R19</v>
      </c>
      <c r="C347" t="str">
        <f>Pairs!H348</f>
        <v>D2-R2</v>
      </c>
      <c r="D347">
        <f ca="1">Pairs!O348</f>
        <v>1</v>
      </c>
      <c r="E347" s="1">
        <v>0</v>
      </c>
    </row>
    <row r="348" spans="1:5" x14ac:dyDescent="0.25">
      <c r="A348">
        <v>1</v>
      </c>
      <c r="B348" t="str">
        <f>Pairs!G349</f>
        <v>D19-R19</v>
      </c>
      <c r="C348" t="str">
        <f>Pairs!H349</f>
        <v>D3-R3</v>
      </c>
      <c r="D348">
        <f ca="1">Pairs!O349</f>
        <v>1</v>
      </c>
      <c r="E348" s="1">
        <v>0</v>
      </c>
    </row>
    <row r="349" spans="1:5" x14ac:dyDescent="0.25">
      <c r="A349">
        <v>1</v>
      </c>
      <c r="B349" t="str">
        <f>Pairs!G350</f>
        <v>D19-R19</v>
      </c>
      <c r="C349" t="str">
        <f>Pairs!H350</f>
        <v>D4-R4</v>
      </c>
      <c r="D349">
        <f ca="1">Pairs!O350</f>
        <v>0</v>
      </c>
      <c r="E349" s="1">
        <v>0</v>
      </c>
    </row>
    <row r="350" spans="1:5" x14ac:dyDescent="0.25">
      <c r="A350">
        <v>1</v>
      </c>
      <c r="B350" t="str">
        <f>Pairs!G351</f>
        <v>D19-R19</v>
      </c>
      <c r="C350" t="str">
        <f>Pairs!H351</f>
        <v>D5-R5</v>
      </c>
      <c r="D350">
        <f ca="1">Pairs!O351</f>
        <v>1</v>
      </c>
      <c r="E350" s="1">
        <v>0</v>
      </c>
    </row>
    <row r="351" spans="1:5" x14ac:dyDescent="0.25">
      <c r="A351">
        <v>1</v>
      </c>
      <c r="B351" t="str">
        <f>Pairs!G352</f>
        <v>D19-R19</v>
      </c>
      <c r="C351" t="str">
        <f>Pairs!H352</f>
        <v>D6-R6</v>
      </c>
      <c r="D351">
        <f ca="1">Pairs!O352</f>
        <v>1</v>
      </c>
      <c r="E351" s="1">
        <v>0</v>
      </c>
    </row>
    <row r="352" spans="1:5" x14ac:dyDescent="0.25">
      <c r="A352">
        <v>1</v>
      </c>
      <c r="B352" t="str">
        <f>Pairs!G353</f>
        <v>D19-R19</v>
      </c>
      <c r="C352" t="str">
        <f>Pairs!H353</f>
        <v>D7-R7</v>
      </c>
      <c r="D352">
        <f ca="1">Pairs!O353</f>
        <v>0</v>
      </c>
      <c r="E352" s="1">
        <v>0</v>
      </c>
    </row>
    <row r="353" spans="1:5" x14ac:dyDescent="0.25">
      <c r="A353">
        <v>1</v>
      </c>
      <c r="B353" t="str">
        <f>Pairs!G354</f>
        <v>D19-R19</v>
      </c>
      <c r="C353" t="str">
        <f>Pairs!H354</f>
        <v>D8-R8</v>
      </c>
      <c r="D353">
        <f ca="1">Pairs!O354</f>
        <v>1</v>
      </c>
      <c r="E353" s="1">
        <v>0</v>
      </c>
    </row>
    <row r="354" spans="1:5" x14ac:dyDescent="0.25">
      <c r="A354">
        <v>1</v>
      </c>
      <c r="B354" t="str">
        <f>Pairs!G355</f>
        <v>D19-R19</v>
      </c>
      <c r="C354" t="str">
        <f>Pairs!H355</f>
        <v>D9-R9</v>
      </c>
      <c r="D354">
        <f ca="1">Pairs!O355</f>
        <v>0</v>
      </c>
      <c r="E354" s="1">
        <v>0</v>
      </c>
    </row>
    <row r="355" spans="1:5" x14ac:dyDescent="0.25">
      <c r="A355">
        <v>1</v>
      </c>
      <c r="B355" t="str">
        <f>Pairs!G356</f>
        <v>D19-R19</v>
      </c>
      <c r="C355" t="str">
        <f>Pairs!H356</f>
        <v>D10-R10</v>
      </c>
      <c r="D355">
        <f ca="1">Pairs!O356</f>
        <v>0</v>
      </c>
      <c r="E355" s="1">
        <v>0</v>
      </c>
    </row>
    <row r="356" spans="1:5" x14ac:dyDescent="0.25">
      <c r="A356">
        <v>1</v>
      </c>
      <c r="B356" t="str">
        <f>Pairs!G357</f>
        <v>D19-R19</v>
      </c>
      <c r="C356" t="str">
        <f>Pairs!H357</f>
        <v>D11-R11</v>
      </c>
      <c r="D356">
        <f ca="1">Pairs!O357</f>
        <v>1</v>
      </c>
      <c r="E356" s="1">
        <v>0</v>
      </c>
    </row>
    <row r="357" spans="1:5" x14ac:dyDescent="0.25">
      <c r="A357">
        <v>1</v>
      </c>
      <c r="B357" t="str">
        <f>Pairs!G358</f>
        <v>D19-R19</v>
      </c>
      <c r="C357" t="str">
        <f>Pairs!H358</f>
        <v>D12-R12</v>
      </c>
      <c r="D357">
        <f ca="1">Pairs!O358</f>
        <v>1</v>
      </c>
      <c r="E357" s="1">
        <v>0</v>
      </c>
    </row>
    <row r="358" spans="1:5" x14ac:dyDescent="0.25">
      <c r="A358">
        <v>1</v>
      </c>
      <c r="B358" t="str">
        <f>Pairs!G359</f>
        <v>D19-R19</v>
      </c>
      <c r="C358" t="str">
        <f>Pairs!H359</f>
        <v>D13-R13</v>
      </c>
      <c r="D358">
        <f ca="1">Pairs!O359</f>
        <v>1</v>
      </c>
      <c r="E358" s="1">
        <v>0</v>
      </c>
    </row>
    <row r="359" spans="1:5" x14ac:dyDescent="0.25">
      <c r="A359">
        <v>1</v>
      </c>
      <c r="B359" t="str">
        <f>Pairs!G360</f>
        <v>D19-R19</v>
      </c>
      <c r="C359" t="str">
        <f>Pairs!H360</f>
        <v>D14-R14</v>
      </c>
      <c r="D359">
        <f ca="1">Pairs!O360</f>
        <v>1</v>
      </c>
      <c r="E359" s="1">
        <v>0</v>
      </c>
    </row>
    <row r="360" spans="1:5" x14ac:dyDescent="0.25">
      <c r="A360">
        <v>1</v>
      </c>
      <c r="B360" t="str">
        <f>Pairs!G361</f>
        <v>D19-R19</v>
      </c>
      <c r="C360" t="str">
        <f>Pairs!H361</f>
        <v>D15-R15</v>
      </c>
      <c r="D360">
        <f ca="1">Pairs!O361</f>
        <v>1</v>
      </c>
      <c r="E360" s="1">
        <v>0</v>
      </c>
    </row>
    <row r="361" spans="1:5" x14ac:dyDescent="0.25">
      <c r="A361">
        <v>1</v>
      </c>
      <c r="B361" t="str">
        <f>Pairs!G362</f>
        <v>D19-R19</v>
      </c>
      <c r="C361" t="str">
        <f>Pairs!H362</f>
        <v>D16-R16</v>
      </c>
      <c r="D361">
        <f ca="1">Pairs!O362</f>
        <v>1</v>
      </c>
      <c r="E361" s="1">
        <v>0</v>
      </c>
    </row>
    <row r="362" spans="1:5" x14ac:dyDescent="0.25">
      <c r="A362">
        <v>1</v>
      </c>
      <c r="B362" t="str">
        <f>Pairs!G363</f>
        <v>D19-R19</v>
      </c>
      <c r="C362" t="str">
        <f>Pairs!H363</f>
        <v>D17-R17</v>
      </c>
      <c r="D362">
        <f ca="1">Pairs!O363</f>
        <v>1</v>
      </c>
      <c r="E362" s="1">
        <v>0</v>
      </c>
    </row>
    <row r="363" spans="1:5" x14ac:dyDescent="0.25">
      <c r="A363">
        <v>1</v>
      </c>
      <c r="B363" t="str">
        <f>Pairs!G364</f>
        <v>D19-R19</v>
      </c>
      <c r="C363" t="str">
        <f>Pairs!H364</f>
        <v>D18-R18</v>
      </c>
      <c r="D363">
        <f ca="1">Pairs!O364</f>
        <v>0</v>
      </c>
      <c r="E363" s="1">
        <v>0</v>
      </c>
    </row>
    <row r="364" spans="1:5" x14ac:dyDescent="0.25">
      <c r="A364">
        <v>1</v>
      </c>
      <c r="B364" t="str">
        <f>Pairs!G365</f>
        <v>D19-R19</v>
      </c>
      <c r="C364" t="str">
        <f>Pairs!H365</f>
        <v>D20-R20</v>
      </c>
      <c r="D364">
        <f ca="1">Pairs!O365</f>
        <v>1</v>
      </c>
      <c r="E364" s="1">
        <v>0</v>
      </c>
    </row>
    <row r="365" spans="1:5" x14ac:dyDescent="0.25">
      <c r="A365">
        <v>1</v>
      </c>
      <c r="B365" t="str">
        <f>Pairs!G366</f>
        <v>D20-R20</v>
      </c>
      <c r="C365" t="str">
        <f>Pairs!H366</f>
        <v>D1-R1</v>
      </c>
      <c r="D365">
        <f ca="1">Pairs!O366</f>
        <v>0</v>
      </c>
      <c r="E365" s="1">
        <v>0</v>
      </c>
    </row>
    <row r="366" spans="1:5" x14ac:dyDescent="0.25">
      <c r="A366">
        <v>1</v>
      </c>
      <c r="B366" t="str">
        <f>Pairs!G367</f>
        <v>D20-R20</v>
      </c>
      <c r="C366" t="str">
        <f>Pairs!H367</f>
        <v>D2-R2</v>
      </c>
      <c r="D366">
        <f ca="1">Pairs!O367</f>
        <v>1</v>
      </c>
      <c r="E366" s="1">
        <v>0</v>
      </c>
    </row>
    <row r="367" spans="1:5" x14ac:dyDescent="0.25">
      <c r="A367">
        <v>1</v>
      </c>
      <c r="B367" t="str">
        <f>Pairs!G368</f>
        <v>D20-R20</v>
      </c>
      <c r="C367" t="str">
        <f>Pairs!H368</f>
        <v>D3-R3</v>
      </c>
      <c r="D367">
        <f ca="1">Pairs!O368</f>
        <v>1</v>
      </c>
      <c r="E367" s="1">
        <v>0</v>
      </c>
    </row>
    <row r="368" spans="1:5" x14ac:dyDescent="0.25">
      <c r="A368">
        <v>1</v>
      </c>
      <c r="B368" t="str">
        <f>Pairs!G369</f>
        <v>D20-R20</v>
      </c>
      <c r="C368" t="str">
        <f>Pairs!H369</f>
        <v>D4-R4</v>
      </c>
      <c r="D368">
        <f ca="1">Pairs!O369</f>
        <v>0</v>
      </c>
      <c r="E368" s="1">
        <v>0</v>
      </c>
    </row>
    <row r="369" spans="1:5" x14ac:dyDescent="0.25">
      <c r="A369">
        <v>1</v>
      </c>
      <c r="B369" t="str">
        <f>Pairs!G370</f>
        <v>D20-R20</v>
      </c>
      <c r="C369" t="str">
        <f>Pairs!H370</f>
        <v>D5-R5</v>
      </c>
      <c r="D369">
        <f ca="1">Pairs!O370</f>
        <v>1</v>
      </c>
      <c r="E369" s="1">
        <v>0</v>
      </c>
    </row>
    <row r="370" spans="1:5" x14ac:dyDescent="0.25">
      <c r="A370">
        <v>1</v>
      </c>
      <c r="B370" t="str">
        <f>Pairs!G371</f>
        <v>D20-R20</v>
      </c>
      <c r="C370" t="str">
        <f>Pairs!H371</f>
        <v>D6-R6</v>
      </c>
      <c r="D370">
        <f ca="1">Pairs!O371</f>
        <v>1</v>
      </c>
      <c r="E370" s="1">
        <v>0</v>
      </c>
    </row>
    <row r="371" spans="1:5" x14ac:dyDescent="0.25">
      <c r="A371">
        <v>1</v>
      </c>
      <c r="B371" t="str">
        <f>Pairs!G372</f>
        <v>D20-R20</v>
      </c>
      <c r="C371" t="str">
        <f>Pairs!H372</f>
        <v>D7-R7</v>
      </c>
      <c r="D371">
        <f ca="1">Pairs!O372</f>
        <v>0</v>
      </c>
      <c r="E371" s="1">
        <v>0</v>
      </c>
    </row>
    <row r="372" spans="1:5" x14ac:dyDescent="0.25">
      <c r="A372">
        <v>1</v>
      </c>
      <c r="B372" t="str">
        <f>Pairs!G373</f>
        <v>D20-R20</v>
      </c>
      <c r="C372" t="str">
        <f>Pairs!H373</f>
        <v>D8-R8</v>
      </c>
      <c r="D372">
        <f ca="1">Pairs!O373</f>
        <v>1</v>
      </c>
      <c r="E372" s="1">
        <v>0</v>
      </c>
    </row>
    <row r="373" spans="1:5" x14ac:dyDescent="0.25">
      <c r="A373">
        <v>1</v>
      </c>
      <c r="B373" t="str">
        <f>Pairs!G374</f>
        <v>D20-R20</v>
      </c>
      <c r="C373" t="str">
        <f>Pairs!H374</f>
        <v>D9-R9</v>
      </c>
      <c r="D373">
        <f ca="1">Pairs!O374</f>
        <v>0</v>
      </c>
      <c r="E373" s="1">
        <v>0</v>
      </c>
    </row>
    <row r="374" spans="1:5" x14ac:dyDescent="0.25">
      <c r="A374">
        <v>1</v>
      </c>
      <c r="B374" t="str">
        <f>Pairs!G375</f>
        <v>D20-R20</v>
      </c>
      <c r="C374" t="str">
        <f>Pairs!H375</f>
        <v>D10-R10</v>
      </c>
      <c r="D374">
        <f ca="1">Pairs!O375</f>
        <v>0</v>
      </c>
      <c r="E374" s="1">
        <v>0</v>
      </c>
    </row>
    <row r="375" spans="1:5" x14ac:dyDescent="0.25">
      <c r="A375">
        <v>1</v>
      </c>
      <c r="B375" t="str">
        <f>Pairs!G376</f>
        <v>D20-R20</v>
      </c>
      <c r="C375" t="str">
        <f>Pairs!H376</f>
        <v>D11-R11</v>
      </c>
      <c r="D375">
        <f ca="1">Pairs!O376</f>
        <v>1</v>
      </c>
      <c r="E375" s="1">
        <v>0</v>
      </c>
    </row>
    <row r="376" spans="1:5" x14ac:dyDescent="0.25">
      <c r="A376">
        <v>1</v>
      </c>
      <c r="B376" t="str">
        <f>Pairs!G377</f>
        <v>D20-R20</v>
      </c>
      <c r="C376" t="str">
        <f>Pairs!H377</f>
        <v>D12-R12</v>
      </c>
      <c r="D376">
        <f ca="1">Pairs!O377</f>
        <v>1</v>
      </c>
      <c r="E376" s="1">
        <v>0</v>
      </c>
    </row>
    <row r="377" spans="1:5" x14ac:dyDescent="0.25">
      <c r="A377">
        <v>1</v>
      </c>
      <c r="B377" t="str">
        <f>Pairs!G378</f>
        <v>D20-R20</v>
      </c>
      <c r="C377" t="str">
        <f>Pairs!H378</f>
        <v>D13-R13</v>
      </c>
      <c r="D377">
        <f ca="1">Pairs!O378</f>
        <v>1</v>
      </c>
      <c r="E377" s="1">
        <v>0</v>
      </c>
    </row>
    <row r="378" spans="1:5" x14ac:dyDescent="0.25">
      <c r="A378">
        <v>1</v>
      </c>
      <c r="B378" t="str">
        <f>Pairs!G379</f>
        <v>D20-R20</v>
      </c>
      <c r="C378" t="str">
        <f>Pairs!H379</f>
        <v>D14-R14</v>
      </c>
      <c r="D378">
        <f ca="1">Pairs!O379</f>
        <v>1</v>
      </c>
      <c r="E378" s="1">
        <v>0</v>
      </c>
    </row>
    <row r="379" spans="1:5" x14ac:dyDescent="0.25">
      <c r="A379">
        <v>1</v>
      </c>
      <c r="B379" t="str">
        <f>Pairs!G380</f>
        <v>D20-R20</v>
      </c>
      <c r="C379" t="str">
        <f>Pairs!H380</f>
        <v>D15-R15</v>
      </c>
      <c r="D379">
        <f ca="1">Pairs!O380</f>
        <v>1</v>
      </c>
      <c r="E379" s="1">
        <v>0</v>
      </c>
    </row>
    <row r="380" spans="1:5" x14ac:dyDescent="0.25">
      <c r="A380">
        <v>1</v>
      </c>
      <c r="B380" t="str">
        <f>Pairs!G381</f>
        <v>D20-R20</v>
      </c>
      <c r="C380" t="str">
        <f>Pairs!H381</f>
        <v>D16-R16</v>
      </c>
      <c r="D380">
        <f ca="1">Pairs!O381</f>
        <v>1</v>
      </c>
      <c r="E380" s="1">
        <v>0</v>
      </c>
    </row>
    <row r="381" spans="1:5" x14ac:dyDescent="0.25">
      <c r="A381">
        <v>1</v>
      </c>
      <c r="B381" t="str">
        <f>Pairs!G382</f>
        <v>D20-R20</v>
      </c>
      <c r="C381" t="str">
        <f>Pairs!H382</f>
        <v>D17-R17</v>
      </c>
      <c r="D381">
        <f ca="1">Pairs!O382</f>
        <v>1</v>
      </c>
      <c r="E381" s="1">
        <v>0</v>
      </c>
    </row>
    <row r="382" spans="1:5" x14ac:dyDescent="0.25">
      <c r="A382">
        <v>1</v>
      </c>
      <c r="B382" t="str">
        <f>Pairs!G383</f>
        <v>D20-R20</v>
      </c>
      <c r="C382" t="str">
        <f>Pairs!H383</f>
        <v>D18-R18</v>
      </c>
      <c r="D382">
        <f ca="1">Pairs!O383</f>
        <v>0</v>
      </c>
      <c r="E382" s="1">
        <v>0</v>
      </c>
    </row>
    <row r="383" spans="1:5" x14ac:dyDescent="0.25">
      <c r="A383">
        <v>1</v>
      </c>
      <c r="B383" t="str">
        <f>Pairs!G384</f>
        <v>D20-R20</v>
      </c>
      <c r="C383" t="str">
        <f>Pairs!H384</f>
        <v>D19-R19</v>
      </c>
      <c r="D383">
        <f ca="1">Pairs!O384</f>
        <v>1</v>
      </c>
      <c r="E383" s="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7"/>
  <sheetViews>
    <sheetView zoomScale="85" zoomScaleNormal="85" workbookViewId="0">
      <selection activeCell="N9" sqref="N9"/>
    </sheetView>
  </sheetViews>
  <sheetFormatPr defaultColWidth="8.85546875" defaultRowHeight="15" x14ac:dyDescent="0.25"/>
  <cols>
    <col min="1" max="2" width="10.85546875" bestFit="1" customWidth="1"/>
    <col min="3" max="3" width="10.28515625" bestFit="1" customWidth="1"/>
    <col min="5" max="5" width="10.42578125" bestFit="1" customWidth="1"/>
    <col min="6" max="6" width="11.28515625" bestFit="1" customWidth="1"/>
    <col min="7" max="7" width="10.28515625" bestFit="1" customWidth="1"/>
    <col min="8" max="8" width="10.42578125" bestFit="1" customWidth="1"/>
  </cols>
  <sheetData>
    <row r="1" spans="1:9" x14ac:dyDescent="0.25">
      <c r="A1" t="s">
        <v>39</v>
      </c>
      <c r="B1" s="4" t="s">
        <v>9</v>
      </c>
      <c r="C1" s="4" t="s">
        <v>13</v>
      </c>
      <c r="D1" s="4"/>
      <c r="E1" s="4" t="s">
        <v>39</v>
      </c>
      <c r="F1" s="4" t="s">
        <v>33</v>
      </c>
      <c r="G1" s="4" t="s">
        <v>13</v>
      </c>
      <c r="H1" s="4"/>
    </row>
    <row r="2" spans="1:9" x14ac:dyDescent="0.25">
      <c r="A2">
        <v>1</v>
      </c>
      <c r="B2" t="s">
        <v>1</v>
      </c>
      <c r="C2" s="4">
        <v>0.48139999999999999</v>
      </c>
      <c r="E2">
        <v>1</v>
      </c>
      <c r="F2" t="s">
        <v>34</v>
      </c>
      <c r="G2">
        <v>0.1</v>
      </c>
    </row>
    <row r="3" spans="1:9" x14ac:dyDescent="0.25">
      <c r="A3">
        <v>2</v>
      </c>
      <c r="B3" s="4" t="s">
        <v>10</v>
      </c>
      <c r="C3" s="4">
        <v>0.33729999999999999</v>
      </c>
      <c r="E3">
        <v>2</v>
      </c>
      <c r="F3" t="s">
        <v>35</v>
      </c>
      <c r="G3">
        <v>0.9</v>
      </c>
    </row>
    <row r="4" spans="1:9" x14ac:dyDescent="0.25">
      <c r="A4">
        <v>3</v>
      </c>
      <c r="B4" s="4" t="s">
        <v>11</v>
      </c>
      <c r="C4" s="4">
        <v>0.28139999999999998</v>
      </c>
    </row>
    <row r="5" spans="1:9" x14ac:dyDescent="0.25">
      <c r="A5">
        <v>4</v>
      </c>
      <c r="B5" s="4" t="s">
        <v>12</v>
      </c>
      <c r="C5" s="4">
        <v>3.85E-2</v>
      </c>
    </row>
    <row r="7" spans="1:9" x14ac:dyDescent="0.25">
      <c r="A7" s="2" t="s">
        <v>43</v>
      </c>
      <c r="B7" s="7" t="s">
        <v>37</v>
      </c>
      <c r="C7" s="2" t="s">
        <v>42</v>
      </c>
      <c r="D7" s="7" t="s">
        <v>40</v>
      </c>
      <c r="E7" s="2"/>
      <c r="F7" s="2" t="s">
        <v>44</v>
      </c>
      <c r="G7" s="9" t="s">
        <v>38</v>
      </c>
      <c r="H7" s="2" t="s">
        <v>45</v>
      </c>
      <c r="I7" s="9" t="s">
        <v>41</v>
      </c>
    </row>
    <row r="8" spans="1:9" x14ac:dyDescent="0.25">
      <c r="A8">
        <f ca="1">_xll.CB.Custom($A$2:$A$5,$C$2:$C$5)</f>
        <v>2</v>
      </c>
      <c r="B8" s="6" t="str">
        <f ca="1">VLOOKUP(A8,$A$2:$B$5,2,0)</f>
        <v>A</v>
      </c>
      <c r="C8">
        <f ca="1">_xll.CB.Custom($E$2:$E$3,$H$2:$H$3)</f>
        <v>1</v>
      </c>
      <c r="D8" s="6" t="str">
        <f ca="1">VLOOKUP(C8,$E$2:$F$3,2,0)</f>
        <v>Rare</v>
      </c>
      <c r="F8">
        <f ca="1">_xll.CB.Custom($A$2:$A$5,$C$2:$C$5)</f>
        <v>1</v>
      </c>
      <c r="G8" s="8" t="str">
        <f ca="1">VLOOKUP(F8,$A$2:$B$5,2,0)</f>
        <v>O</v>
      </c>
      <c r="H8">
        <f ca="1">_xll.CB.Custom($E$2:$E$3,$H$2:$H$3)</f>
        <v>1</v>
      </c>
      <c r="I8" s="8" t="str">
        <f ca="1">VLOOKUP(H8,E$2:F$3,2,0)</f>
        <v>Rare</v>
      </c>
    </row>
    <row r="9" spans="1:9" x14ac:dyDescent="0.25">
      <c r="A9">
        <f ca="1">_xll.CB.Custom($A$2:$A$5,$C$2:$C$5)</f>
        <v>4</v>
      </c>
      <c r="B9" s="6" t="str">
        <f t="shared" ref="B9:B27" ca="1" si="0">VLOOKUP(A9,$A$2:$B$5,2,0)</f>
        <v>AB</v>
      </c>
      <c r="C9">
        <f ca="1">_xll.CB.Custom($E$2:$E$3,$H$2:$H$3)</f>
        <v>1</v>
      </c>
      <c r="D9" s="6" t="str">
        <f t="shared" ref="D9:D27" ca="1" si="1">VLOOKUP(C9,$E$2:$F$3,2,0)</f>
        <v>Rare</v>
      </c>
      <c r="F9">
        <f ca="1">_xll.CB.Custom($A$2:$A$5,$C$2:$C$5)</f>
        <v>4</v>
      </c>
      <c r="G9" s="8" t="str">
        <f t="shared" ref="G9:G27" ca="1" si="2">VLOOKUP(F9,$A$2:$B$5,2,0)</f>
        <v>AB</v>
      </c>
      <c r="H9">
        <f ca="1">_xll.CB.Custom($E$2:$E$3,$H$2:$H$3)</f>
        <v>2</v>
      </c>
      <c r="I9" s="8" t="str">
        <f t="shared" ref="I9:I27" ca="1" si="3">VLOOKUP(H9,E$2:F$3,2,0)</f>
        <v>Frequent</v>
      </c>
    </row>
    <row r="10" spans="1:9" x14ac:dyDescent="0.25">
      <c r="A10">
        <f ca="1">_xll.CB.Custom($A$2:$A$5,$C$2:$C$5)</f>
        <v>1</v>
      </c>
      <c r="B10" s="6" t="str">
        <f t="shared" ca="1" si="0"/>
        <v>O</v>
      </c>
      <c r="C10">
        <f ca="1">_xll.CB.Custom($E$2:$E$3,$H$2:$H$3)</f>
        <v>1</v>
      </c>
      <c r="D10" s="6" t="str">
        <f t="shared" ca="1" si="1"/>
        <v>Rare</v>
      </c>
      <c r="F10">
        <f ca="1">_xll.CB.Custom($A$2:$A$5,$C$2:$C$5)</f>
        <v>3</v>
      </c>
      <c r="G10" s="8" t="str">
        <f t="shared" ca="1" si="2"/>
        <v>B</v>
      </c>
      <c r="H10">
        <f ca="1">_xll.CB.Custom($E$2:$E$3,$H$2:$H$3)</f>
        <v>2</v>
      </c>
      <c r="I10" s="8" t="str">
        <f t="shared" ca="1" si="3"/>
        <v>Frequent</v>
      </c>
    </row>
    <row r="11" spans="1:9" x14ac:dyDescent="0.25">
      <c r="A11">
        <f ca="1">_xll.CB.Custom($A$2:$A$5,$C$2:$C$5)</f>
        <v>2</v>
      </c>
      <c r="B11" s="6" t="str">
        <f t="shared" ca="1" si="0"/>
        <v>A</v>
      </c>
      <c r="C11">
        <f ca="1">_xll.CB.Custom($E$2:$E$3,$H$2:$H$3)</f>
        <v>1</v>
      </c>
      <c r="D11" s="6" t="str">
        <f t="shared" ca="1" si="1"/>
        <v>Rare</v>
      </c>
      <c r="F11">
        <f ca="1">_xll.CB.Custom($A$2:$A$5,$C$2:$C$5)</f>
        <v>2</v>
      </c>
      <c r="G11" s="8" t="str">
        <f t="shared" ca="1" si="2"/>
        <v>A</v>
      </c>
      <c r="H11">
        <f ca="1">_xll.CB.Custom($E$2:$E$3,$H$2:$H$3)</f>
        <v>2</v>
      </c>
      <c r="I11" s="8" t="str">
        <f t="shared" ca="1" si="3"/>
        <v>Frequent</v>
      </c>
    </row>
    <row r="12" spans="1:9" x14ac:dyDescent="0.25">
      <c r="A12">
        <f ca="1">_xll.CB.Custom($A$2:$A$5,$C$2:$C$5)</f>
        <v>4</v>
      </c>
      <c r="B12" s="6" t="str">
        <f t="shared" ca="1" si="0"/>
        <v>AB</v>
      </c>
      <c r="C12">
        <f ca="1">_xll.CB.Custom($E$2:$E$3,$H$2:$H$3)</f>
        <v>2</v>
      </c>
      <c r="D12" s="6" t="str">
        <f t="shared" ca="1" si="1"/>
        <v>Frequent</v>
      </c>
      <c r="F12">
        <f ca="1">_xll.CB.Custom($A$2:$A$5,$C$2:$C$5)</f>
        <v>4</v>
      </c>
      <c r="G12" s="8" t="str">
        <f t="shared" ca="1" si="2"/>
        <v>AB</v>
      </c>
      <c r="H12">
        <f ca="1">_xll.CB.Custom($E$2:$E$3,$H$2:$H$3)</f>
        <v>1</v>
      </c>
      <c r="I12" s="8" t="str">
        <f t="shared" ca="1" si="3"/>
        <v>Rare</v>
      </c>
    </row>
    <row r="13" spans="1:9" x14ac:dyDescent="0.25">
      <c r="A13">
        <f ca="1">_xll.CB.Custom($A$2:$A$5,$C$2:$C$5)</f>
        <v>4</v>
      </c>
      <c r="B13" s="6" t="str">
        <f t="shared" ca="1" si="0"/>
        <v>AB</v>
      </c>
      <c r="C13">
        <f ca="1">_xll.CB.Custom($E$2:$E$3,$H$2:$H$3)</f>
        <v>1</v>
      </c>
      <c r="D13" s="6" t="str">
        <f t="shared" ca="1" si="1"/>
        <v>Rare</v>
      </c>
      <c r="F13">
        <f ca="1">_xll.CB.Custom($A$2:$A$5,$C$2:$C$5)</f>
        <v>4</v>
      </c>
      <c r="G13" s="8" t="str">
        <f t="shared" ca="1" si="2"/>
        <v>AB</v>
      </c>
      <c r="H13">
        <f ca="1">_xll.CB.Custom($E$2:$E$3,$H$2:$H$3)</f>
        <v>2</v>
      </c>
      <c r="I13" s="8" t="str">
        <f t="shared" ca="1" si="3"/>
        <v>Frequent</v>
      </c>
    </row>
    <row r="14" spans="1:9" x14ac:dyDescent="0.25">
      <c r="A14">
        <f ca="1">_xll.CB.Custom($A$2:$A$5,$C$2:$C$5)</f>
        <v>1</v>
      </c>
      <c r="B14" s="6" t="str">
        <f t="shared" ca="1" si="0"/>
        <v>O</v>
      </c>
      <c r="C14">
        <f ca="1">_xll.CB.Custom($E$2:$E$3,$H$2:$H$3)</f>
        <v>1</v>
      </c>
      <c r="D14" s="6" t="str">
        <f t="shared" ca="1" si="1"/>
        <v>Rare</v>
      </c>
      <c r="F14">
        <f ca="1">_xll.CB.Custom($A$2:$A$5,$C$2:$C$5)</f>
        <v>1</v>
      </c>
      <c r="G14" s="8" t="str">
        <f t="shared" ca="1" si="2"/>
        <v>O</v>
      </c>
      <c r="H14">
        <f ca="1">_xll.CB.Custom($E$2:$E$3,$H$2:$H$3)</f>
        <v>2</v>
      </c>
      <c r="I14" s="8" t="str">
        <f t="shared" ca="1" si="3"/>
        <v>Frequent</v>
      </c>
    </row>
    <row r="15" spans="1:9" x14ac:dyDescent="0.25">
      <c r="A15">
        <f ca="1">_xll.CB.Custom($A$2:$A$5,$C$2:$C$5)</f>
        <v>3</v>
      </c>
      <c r="B15" s="6" t="str">
        <f t="shared" ca="1" si="0"/>
        <v>B</v>
      </c>
      <c r="C15">
        <f ca="1">_xll.CB.Custom($E$2:$E$3,$H$2:$H$3)</f>
        <v>1</v>
      </c>
      <c r="D15" s="6" t="str">
        <f t="shared" ca="1" si="1"/>
        <v>Rare</v>
      </c>
      <c r="F15">
        <f ca="1">_xll.CB.Custom($A$2:$A$5,$C$2:$C$5)</f>
        <v>3</v>
      </c>
      <c r="G15" s="8" t="str">
        <f t="shared" ca="1" si="2"/>
        <v>B</v>
      </c>
      <c r="H15">
        <f ca="1">_xll.CB.Custom($E$2:$E$3,$H$2:$H$3)</f>
        <v>1</v>
      </c>
      <c r="I15" s="8" t="str">
        <f t="shared" ca="1" si="3"/>
        <v>Rare</v>
      </c>
    </row>
    <row r="16" spans="1:9" x14ac:dyDescent="0.25">
      <c r="A16">
        <f ca="1">_xll.CB.Custom($A$2:$A$5,$C$2:$C$5)</f>
        <v>1</v>
      </c>
      <c r="B16" s="6" t="str">
        <f t="shared" ca="1" si="0"/>
        <v>O</v>
      </c>
      <c r="C16">
        <f ca="1">_xll.CB.Custom($E$2:$E$3,$H$2:$H$3)</f>
        <v>2</v>
      </c>
      <c r="D16" s="6" t="str">
        <f t="shared" ca="1" si="1"/>
        <v>Frequent</v>
      </c>
      <c r="F16">
        <f ca="1">_xll.CB.Custom($A$2:$A$5,$C$2:$C$5)</f>
        <v>2</v>
      </c>
      <c r="G16" s="8" t="str">
        <f t="shared" ca="1" si="2"/>
        <v>A</v>
      </c>
      <c r="H16">
        <f ca="1">_xll.CB.Custom($E$2:$E$3,$H$2:$H$3)</f>
        <v>2</v>
      </c>
      <c r="I16" s="8" t="str">
        <f t="shared" ca="1" si="3"/>
        <v>Frequent</v>
      </c>
    </row>
    <row r="17" spans="1:9" x14ac:dyDescent="0.25">
      <c r="A17">
        <f ca="1">_xll.CB.Custom($A$2:$A$5,$C$2:$C$5)</f>
        <v>4</v>
      </c>
      <c r="B17" s="6" t="str">
        <f t="shared" ca="1" si="0"/>
        <v>AB</v>
      </c>
      <c r="C17">
        <f ca="1">_xll.CB.Custom($E$2:$E$3,$H$2:$H$3)</f>
        <v>2</v>
      </c>
      <c r="D17" s="6" t="str">
        <f t="shared" ca="1" si="1"/>
        <v>Frequent</v>
      </c>
      <c r="F17">
        <f ca="1">_xll.CB.Custom($A$2:$A$5,$C$2:$C$5)</f>
        <v>2</v>
      </c>
      <c r="G17" s="8" t="str">
        <f t="shared" ca="1" si="2"/>
        <v>A</v>
      </c>
      <c r="H17">
        <f ca="1">_xll.CB.Custom($E$2:$E$3,$H$2:$H$3)</f>
        <v>2</v>
      </c>
      <c r="I17" s="8" t="str">
        <f t="shared" ca="1" si="3"/>
        <v>Frequent</v>
      </c>
    </row>
    <row r="18" spans="1:9" x14ac:dyDescent="0.25">
      <c r="A18">
        <f ca="1">_xll.CB.Custom($A$2:$A$5,$C$2:$C$5)</f>
        <v>1</v>
      </c>
      <c r="B18" s="6" t="str">
        <f t="shared" ca="1" si="0"/>
        <v>O</v>
      </c>
      <c r="C18">
        <f ca="1">_xll.CB.Custom($E$2:$E$3,$H$2:$H$3)</f>
        <v>1</v>
      </c>
      <c r="D18" s="6" t="str">
        <f t="shared" ca="1" si="1"/>
        <v>Rare</v>
      </c>
      <c r="F18">
        <f ca="1">_xll.CB.Custom($A$2:$A$5,$C$2:$C$5)</f>
        <v>4</v>
      </c>
      <c r="G18" s="8" t="str">
        <f t="shared" ca="1" si="2"/>
        <v>AB</v>
      </c>
      <c r="H18">
        <f ca="1">_xll.CB.Custom($E$2:$E$3,$H$2:$H$3)</f>
        <v>2</v>
      </c>
      <c r="I18" s="8" t="str">
        <f t="shared" ca="1" si="3"/>
        <v>Frequent</v>
      </c>
    </row>
    <row r="19" spans="1:9" x14ac:dyDescent="0.25">
      <c r="A19">
        <f ca="1">_xll.CB.Custom($A$2:$A$5,$C$2:$C$5)</f>
        <v>1</v>
      </c>
      <c r="B19" s="6" t="str">
        <f t="shared" ca="1" si="0"/>
        <v>O</v>
      </c>
      <c r="C19">
        <f ca="1">_xll.CB.Custom($E$2:$E$3,$H$2:$H$3)</f>
        <v>1</v>
      </c>
      <c r="D19" s="6" t="str">
        <f t="shared" ca="1" si="1"/>
        <v>Rare</v>
      </c>
      <c r="F19">
        <f ca="1">_xll.CB.Custom($A$2:$A$5,$C$2:$C$5)</f>
        <v>3</v>
      </c>
      <c r="G19" s="8" t="str">
        <f t="shared" ca="1" si="2"/>
        <v>B</v>
      </c>
      <c r="H19">
        <f ca="1">_xll.CB.Custom($E$2:$E$3,$H$2:$H$3)</f>
        <v>1</v>
      </c>
      <c r="I19" s="8" t="str">
        <f t="shared" ca="1" si="3"/>
        <v>Rare</v>
      </c>
    </row>
    <row r="20" spans="1:9" x14ac:dyDescent="0.25">
      <c r="A20">
        <f ca="1">_xll.CB.Custom($A$2:$A$5,$C$2:$C$5)</f>
        <v>4</v>
      </c>
      <c r="B20" s="6" t="str">
        <f t="shared" ca="1" si="0"/>
        <v>AB</v>
      </c>
      <c r="C20">
        <f ca="1">_xll.CB.Custom($E$2:$E$3,$H$2:$H$3)</f>
        <v>2</v>
      </c>
      <c r="D20" s="6" t="str">
        <f t="shared" ca="1" si="1"/>
        <v>Frequent</v>
      </c>
      <c r="F20">
        <f ca="1">_xll.CB.Custom($A$2:$A$5,$C$2:$C$5)</f>
        <v>4</v>
      </c>
      <c r="G20" s="8" t="str">
        <f t="shared" ca="1" si="2"/>
        <v>AB</v>
      </c>
      <c r="H20">
        <f ca="1">_xll.CB.Custom($E$2:$E$3,$H$2:$H$3)</f>
        <v>2</v>
      </c>
      <c r="I20" s="8" t="str">
        <f t="shared" ca="1" si="3"/>
        <v>Frequent</v>
      </c>
    </row>
    <row r="21" spans="1:9" x14ac:dyDescent="0.25">
      <c r="A21">
        <f ca="1">_xll.CB.Custom($A$2:$A$5,$C$2:$C$5)</f>
        <v>3</v>
      </c>
      <c r="B21" s="6" t="str">
        <f t="shared" ca="1" si="0"/>
        <v>B</v>
      </c>
      <c r="C21">
        <f ca="1">_xll.CB.Custom($E$2:$E$3,$H$2:$H$3)</f>
        <v>1</v>
      </c>
      <c r="D21" s="6" t="str">
        <f t="shared" ca="1" si="1"/>
        <v>Rare</v>
      </c>
      <c r="F21">
        <f ca="1">_xll.CB.Custom($A$2:$A$5,$C$2:$C$5)</f>
        <v>3</v>
      </c>
      <c r="G21" s="8" t="str">
        <f t="shared" ca="1" si="2"/>
        <v>B</v>
      </c>
      <c r="H21">
        <f ca="1">_xll.CB.Custom($E$2:$E$3,$H$2:$H$3)</f>
        <v>2</v>
      </c>
      <c r="I21" s="8" t="str">
        <f t="shared" ca="1" si="3"/>
        <v>Frequent</v>
      </c>
    </row>
    <row r="22" spans="1:9" x14ac:dyDescent="0.25">
      <c r="A22">
        <f ca="1">_xll.CB.Custom($A$2:$A$5,$C$2:$C$5)</f>
        <v>2</v>
      </c>
      <c r="B22" s="6" t="str">
        <f t="shared" ca="1" si="0"/>
        <v>A</v>
      </c>
      <c r="C22">
        <f ca="1">_xll.CB.Custom($E$2:$E$3,$H$2:$H$3)</f>
        <v>2</v>
      </c>
      <c r="D22" s="6" t="str">
        <f t="shared" ca="1" si="1"/>
        <v>Frequent</v>
      </c>
      <c r="F22">
        <f ca="1">_xll.CB.Custom($A$2:$A$5,$C$2:$C$5)</f>
        <v>3</v>
      </c>
      <c r="G22" s="8" t="str">
        <f t="shared" ca="1" si="2"/>
        <v>B</v>
      </c>
      <c r="H22">
        <f ca="1">_xll.CB.Custom($E$2:$E$3,$H$2:$H$3)</f>
        <v>2</v>
      </c>
      <c r="I22" s="8" t="str">
        <f t="shared" ca="1" si="3"/>
        <v>Frequent</v>
      </c>
    </row>
    <row r="23" spans="1:9" x14ac:dyDescent="0.25">
      <c r="A23">
        <f ca="1">_xll.CB.Custom($A$2:$A$5,$C$2:$C$5)</f>
        <v>2</v>
      </c>
      <c r="B23" s="6" t="str">
        <f t="shared" ca="1" si="0"/>
        <v>A</v>
      </c>
      <c r="C23">
        <f ca="1">_xll.CB.Custom($E$2:$E$3,$H$2:$H$3)</f>
        <v>2</v>
      </c>
      <c r="D23" s="6" t="str">
        <f t="shared" ca="1" si="1"/>
        <v>Frequent</v>
      </c>
      <c r="F23">
        <f ca="1">_xll.CB.Custom($A$2:$A$5,$C$2:$C$5)</f>
        <v>3</v>
      </c>
      <c r="G23" s="8" t="str">
        <f t="shared" ca="1" si="2"/>
        <v>B</v>
      </c>
      <c r="H23">
        <f ca="1">_xll.CB.Custom($E$2:$E$3,$H$2:$H$3)</f>
        <v>2</v>
      </c>
      <c r="I23" s="8" t="str">
        <f t="shared" ca="1" si="3"/>
        <v>Frequent</v>
      </c>
    </row>
    <row r="24" spans="1:9" x14ac:dyDescent="0.25">
      <c r="A24">
        <f ca="1">_xll.CB.Custom($A$2:$A$5,$C$2:$C$5)</f>
        <v>1</v>
      </c>
      <c r="B24" s="6" t="str">
        <f t="shared" ca="1" si="0"/>
        <v>O</v>
      </c>
      <c r="C24">
        <f ca="1">_xll.CB.Custom($E$2:$E$3,$H$2:$H$3)</f>
        <v>1</v>
      </c>
      <c r="D24" s="6" t="str">
        <f t="shared" ca="1" si="1"/>
        <v>Rare</v>
      </c>
      <c r="F24">
        <f ca="1">_xll.CB.Custom($A$2:$A$5,$C$2:$C$5)</f>
        <v>3</v>
      </c>
      <c r="G24" s="8" t="str">
        <f t="shared" ca="1" si="2"/>
        <v>B</v>
      </c>
      <c r="H24">
        <f ca="1">_xll.CB.Custom($E$2:$E$3,$H$2:$H$3)</f>
        <v>1</v>
      </c>
      <c r="I24" s="8" t="str">
        <f t="shared" ca="1" si="3"/>
        <v>Rare</v>
      </c>
    </row>
    <row r="25" spans="1:9" x14ac:dyDescent="0.25">
      <c r="A25">
        <f ca="1">_xll.CB.Custom($A$2:$A$5,$C$2:$C$5)</f>
        <v>4</v>
      </c>
      <c r="B25" s="6" t="str">
        <f t="shared" ca="1" si="0"/>
        <v>AB</v>
      </c>
      <c r="C25">
        <f ca="1">_xll.CB.Custom($E$2:$E$3,$H$2:$H$3)</f>
        <v>1</v>
      </c>
      <c r="D25" s="6" t="str">
        <f t="shared" ca="1" si="1"/>
        <v>Rare</v>
      </c>
      <c r="F25">
        <f ca="1">_xll.CB.Custom($A$2:$A$5,$C$2:$C$5)</f>
        <v>2</v>
      </c>
      <c r="G25" s="8" t="str">
        <f t="shared" ca="1" si="2"/>
        <v>A</v>
      </c>
      <c r="H25">
        <f ca="1">_xll.CB.Custom($E$2:$E$3,$H$2:$H$3)</f>
        <v>1</v>
      </c>
      <c r="I25" s="8" t="str">
        <f t="shared" ca="1" si="3"/>
        <v>Rare</v>
      </c>
    </row>
    <row r="26" spans="1:9" x14ac:dyDescent="0.25">
      <c r="A26">
        <f ca="1">_xll.CB.Custom($A$2:$A$5,$C$2:$C$5)</f>
        <v>3</v>
      </c>
      <c r="B26" s="6" t="str">
        <f t="shared" ca="1" si="0"/>
        <v>B</v>
      </c>
      <c r="C26">
        <f ca="1">_xll.CB.Custom($E$2:$E$3,$H$2:$H$3)</f>
        <v>1</v>
      </c>
      <c r="D26" s="6" t="str">
        <f t="shared" ca="1" si="1"/>
        <v>Rare</v>
      </c>
      <c r="F26">
        <f ca="1">_xll.CB.Custom($A$2:$A$5,$C$2:$C$5)</f>
        <v>3</v>
      </c>
      <c r="G26" s="8" t="str">
        <f t="shared" ca="1" si="2"/>
        <v>B</v>
      </c>
      <c r="H26">
        <f ca="1">_xll.CB.Custom($E$2:$E$3,$H$2:$H$3)</f>
        <v>1</v>
      </c>
      <c r="I26" s="8" t="str">
        <f t="shared" ca="1" si="3"/>
        <v>Rare</v>
      </c>
    </row>
    <row r="27" spans="1:9" x14ac:dyDescent="0.25">
      <c r="A27">
        <f ca="1">_xll.CB.Custom($A$2:$A$5,$C$2:$C$5)</f>
        <v>3</v>
      </c>
      <c r="B27" s="6" t="str">
        <f t="shared" ca="1" si="0"/>
        <v>B</v>
      </c>
      <c r="C27">
        <f ca="1">_xll.CB.Custom($E$2:$E$3,$H$2:$H$3)</f>
        <v>1</v>
      </c>
      <c r="D27" s="6" t="str">
        <f t="shared" ca="1" si="1"/>
        <v>Rare</v>
      </c>
      <c r="F27">
        <f ca="1">_xll.CB.Custom($A$2:$A$5,$C$2:$C$5)</f>
        <v>4</v>
      </c>
      <c r="G27" s="8" t="str">
        <f t="shared" ca="1" si="2"/>
        <v>AB</v>
      </c>
      <c r="H27">
        <f ca="1">_xll.CB.Custom($E$2:$E$3,$H$2:$H$3)</f>
        <v>1</v>
      </c>
      <c r="I27" s="8" t="str">
        <f t="shared" ca="1" si="3"/>
        <v>Rare</v>
      </c>
    </row>
  </sheetData>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Pairs</vt:lpstr>
      <vt:lpstr>Feasibility Output</vt:lpstr>
      <vt:lpstr>CrystalBall Pair Generation</vt:lpstr>
      <vt:lpstr>count</vt:lpstr>
      <vt:lpstr>D</vt:lpstr>
      <vt:lpstr>DN</vt:lpstr>
      <vt:lpstr>donatingto</vt:lpstr>
      <vt:lpstr>Output</vt:lpstr>
      <vt:lpstr>receivingin</vt:lpstr>
      <vt:lpstr>RN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Rosalyn Lin</dc:creator>
  <cp:lastModifiedBy>citrix power</cp:lastModifiedBy>
  <dcterms:created xsi:type="dcterms:W3CDTF">2015-12-03T03:44:39Z</dcterms:created>
  <dcterms:modified xsi:type="dcterms:W3CDTF">2015-12-08T06:02:49Z</dcterms:modified>
</cp:coreProperties>
</file>